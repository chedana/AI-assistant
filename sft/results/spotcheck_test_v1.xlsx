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抽检" sheetId="1" state="visible" r:id="rId3"/>
    <sheet name="汇总" sheetId="2" state="visible" r:id="rId4"/>
  </sheets>
  <definedNames>
    <definedName function="false" hidden="true" localSheetId="0" name="_xlnm._FilterDatabase" vbProcedure="false">抽检!$A$5:$M$95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<sst xmlns="http://schemas.openxmlformats.org/spreadsheetml/2006/main" count="748" uniqueCount="352">
  <si>
    <r>
      <rPr>
        <b val="true"/>
        <sz val="12"/>
        <rFont val="Noto Sans CJK SC"/>
        <family val="2"/>
      </rPr>
      <t xml:space="preserve">测试集人工抽检（</t>
    </r>
    <r>
      <rPr>
        <b val="true"/>
        <sz val="12"/>
        <rFont val="Arial"/>
        <family val="0"/>
        <charset val="1"/>
      </rPr>
      <t xml:space="preserve">test_v1</t>
    </r>
    <r>
      <rPr>
        <b val="true"/>
        <sz val="12"/>
        <rFont val="Noto Sans CJK SC"/>
        <family val="2"/>
      </rPr>
      <t xml:space="preserve">）：每个测试集随机抽 </t>
    </r>
    <r>
      <rPr>
        <b val="true"/>
        <sz val="12"/>
        <rFont val="Arial"/>
        <family val="0"/>
        <charset val="1"/>
      </rPr>
      <t xml:space="preserve">15%</t>
    </r>
    <r>
      <rPr>
        <b val="true"/>
        <sz val="12"/>
        <rFont val="Noto Sans CJK SC"/>
        <family val="2"/>
      </rPr>
      <t xml:space="preserve">，共 </t>
    </r>
    <r>
      <rPr>
        <b val="true"/>
        <sz val="12"/>
        <rFont val="Arial"/>
        <family val="0"/>
        <charset val="1"/>
      </rPr>
      <t xml:space="preserve">90 </t>
    </r>
    <r>
      <rPr>
        <b val="true"/>
        <sz val="12"/>
        <rFont val="Noto Sans CJK SC"/>
        <family val="2"/>
      </rPr>
      <t xml:space="preserve">条。</t>
    </r>
  </si>
  <si>
    <r>
      <rPr>
        <sz val="10"/>
        <rFont val="Noto Sans CJK SC"/>
        <family val="2"/>
      </rPr>
      <t xml:space="preserve">只需填写黄色的两列：「判定」从下拉框选 对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错；判定为错时在「错在哪」写明原因，例如：错｜预算周期应为 </t>
    </r>
    <r>
      <rPr>
        <sz val="10"/>
        <rFont val="Arial"/>
        <family val="0"/>
        <charset val="1"/>
      </rPr>
      <t xml:space="preserve">pw </t>
    </r>
    <r>
      <rPr>
        <sz val="10"/>
        <rFont val="Noto Sans CJK SC"/>
        <family val="2"/>
      </rPr>
      <t xml:space="preserve">而不是 </t>
    </r>
    <r>
      <rPr>
        <sz val="10"/>
        <rFont val="Arial"/>
        <family val="0"/>
        <charset val="1"/>
      </rPr>
      <t xml:space="preserve">pcm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</si>
  <si>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判断标准：</t>
    </r>
    <r>
      <rPr>
        <sz val="10"/>
        <rFont val="Arial"/>
        <family val="0"/>
        <charset val="1"/>
      </rPr>
      <t xml:space="preserve">gold </t>
    </r>
    <r>
      <rPr>
        <sz val="10"/>
        <rFont val="Noto Sans CJK SC"/>
        <family val="2"/>
      </rPr>
      <t xml:space="preserve">是否准确反映 </t>
    </r>
    <r>
      <rPr>
        <sz val="10"/>
        <rFont val="Arial"/>
        <family val="0"/>
        <charset val="1"/>
      </rPr>
      <t xml:space="preserve">query </t>
    </r>
    <r>
      <rPr>
        <sz val="10"/>
        <rFont val="Noto Sans CJK SC"/>
        <family val="2"/>
      </rPr>
      <t xml:space="preserve">的意思（意图、硬条件不多不少、地点原样、软偏好是可选喜好）；</t>
    </r>
    <r>
      <rPr>
        <sz val="10"/>
        <rFont val="Arial"/>
        <family val="0"/>
        <charset val="1"/>
      </rPr>
      <t xml:space="preserve">query </t>
    </r>
    <r>
      <rPr>
        <sz val="10"/>
        <rFont val="Noto Sans CJK SC"/>
        <family val="2"/>
      </rPr>
      <t xml:space="preserve">是否像真实用户会说的英文。</t>
    </r>
  </si>
  <si>
    <t xml:space="preserve">序号</t>
  </si>
  <si>
    <t xml:space="preserve">测试集</t>
  </si>
  <si>
    <t xml:space="preserve">ID</t>
  </si>
  <si>
    <t xml:space="preserve">类型</t>
  </si>
  <si>
    <t xml:space="preserve">生成方</t>
  </si>
  <si>
    <t xml:space="preserve">上一轮展示的房源</t>
  </si>
  <si>
    <r>
      <rPr>
        <b val="true"/>
        <sz val="11"/>
        <color rgb="FFFFFFFF"/>
        <rFont val="Noto Sans CJK SC"/>
        <family val="2"/>
      </rPr>
      <t xml:space="preserve">用户 </t>
    </r>
    <r>
      <rPr>
        <b val="true"/>
        <sz val="11"/>
        <color rgb="FFFFFFFF"/>
        <rFont val="Arial"/>
        <family val="0"/>
        <charset val="1"/>
      </rPr>
      <t xml:space="preserve">query</t>
    </r>
  </si>
  <si>
    <r>
      <rPr>
        <b val="true"/>
        <sz val="11"/>
        <color rgb="FFFFFFFF"/>
        <rFont val="Arial"/>
        <family val="0"/>
        <charset val="1"/>
      </rPr>
      <t xml:space="preserve">gold </t>
    </r>
    <r>
      <rPr>
        <b val="true"/>
        <sz val="11"/>
        <color rgb="FFFFFFFF"/>
        <rFont val="Noto Sans CJK SC"/>
        <family val="2"/>
      </rPr>
      <t xml:space="preserve">意图</t>
    </r>
  </si>
  <si>
    <r>
      <rPr>
        <b val="true"/>
        <sz val="11"/>
        <color rgb="FFFFFFFF"/>
        <rFont val="Arial"/>
        <family val="0"/>
        <charset val="1"/>
      </rPr>
      <t xml:space="preserve">gold </t>
    </r>
    <r>
      <rPr>
        <b val="true"/>
        <sz val="11"/>
        <color rgb="FFFFFFFF"/>
        <rFont val="Noto Sans CJK SC"/>
        <family val="2"/>
      </rPr>
      <t xml:space="preserve">硬条件</t>
    </r>
  </si>
  <si>
    <r>
      <rPr>
        <b val="true"/>
        <sz val="11"/>
        <color rgb="FFFFFFFF"/>
        <rFont val="Arial"/>
        <family val="0"/>
        <charset val="1"/>
      </rPr>
      <t xml:space="preserve">gold </t>
    </r>
    <r>
      <rPr>
        <b val="true"/>
        <sz val="11"/>
        <color rgb="FFFFFFFF"/>
        <rFont val="Noto Sans CJK SC"/>
        <family val="2"/>
      </rPr>
      <t xml:space="preserve">软偏好</t>
    </r>
  </si>
  <si>
    <t xml:space="preserve">风格标签</t>
  </si>
  <si>
    <r>
      <rPr>
        <b val="true"/>
        <sz val="11"/>
        <color rgb="FFFFFFFF"/>
        <rFont val="Noto Sans CJK SC"/>
        <family val="2"/>
      </rPr>
      <t xml:space="preserve">判定（对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错）</t>
    </r>
  </si>
  <si>
    <t xml:space="preserve">错在哪</t>
  </si>
  <si>
    <t xml:space="preserve">抽取</t>
  </si>
  <si>
    <t xml:space="preserve">T-00006</t>
  </si>
  <si>
    <t xml:space="preserve">搜索</t>
  </si>
  <si>
    <t xml:space="preserve">gpt</t>
  </si>
  <si>
    <t xml:space="preserve">Can you find a studio under £340 a week where students and DSS tenants are welcome but smokers are not allowed?</t>
  </si>
  <si>
    <t xml:space="preserve">Search</t>
  </si>
  <si>
    <r>
      <rPr>
        <sz val="10"/>
        <rFont val="Noto Sans CJK SC"/>
        <family val="2"/>
      </rPr>
      <t xml:space="preserve">预算 ≤ </t>
    </r>
    <r>
      <rPr>
        <sz val="10"/>
        <rFont val="Arial"/>
        <family val="0"/>
        <charset val="1"/>
      </rPr>
      <t xml:space="preserve">340 pw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；接受学生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是；接受吸烟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否；接受 </t>
    </r>
    <r>
      <rPr>
        <sz val="10"/>
        <rFont val="Arial"/>
        <family val="0"/>
        <charset val="1"/>
      </rPr>
      <t xml:space="preserve">DSS=</t>
    </r>
    <r>
      <rPr>
        <sz val="10"/>
        <rFont val="Noto Sans CJK SC"/>
        <family val="2"/>
      </rPr>
      <t xml:space="preserve">是</t>
    </r>
  </si>
  <si>
    <t xml:space="preserve">negation, uk_jargon, price_format</t>
  </si>
  <si>
    <t xml:space="preserve">T-00010</t>
  </si>
  <si>
    <t xml:space="preserve">claude</t>
  </si>
  <si>
    <t xml:space="preserve">Furnished place in NW4 with bills included, must accept students and DSS, and no smokers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</si>
  <si>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NW4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  <r>
      <rPr>
        <sz val="10"/>
        <rFont val="Noto Sans CJK SC"/>
        <family val="2"/>
      </rPr>
      <t xml:space="preserve">；含账单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是；接受学生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是；接受吸烟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否；接受 </t>
    </r>
    <r>
      <rPr>
        <sz val="10"/>
        <rFont val="Arial"/>
        <family val="0"/>
        <charset val="1"/>
      </rPr>
      <t xml:space="preserve">DSS=</t>
    </r>
    <r>
      <rPr>
        <sz val="10"/>
        <rFont val="Noto Sans CJK SC"/>
        <family val="2"/>
      </rPr>
      <t xml:space="preserve">是</t>
    </r>
  </si>
  <si>
    <t xml:space="preserve">loc_postcode, negation, multi_constraint</t>
  </si>
  <si>
    <t xml:space="preserve">T-00011</t>
  </si>
  <si>
    <t xml:space="preserve">Near Stamford Hill, I need a place that accepts students and DSS but does not allow smokers, costing no more than £340 a week.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</si>
  <si>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Stamford Hill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340 pw</t>
    </r>
    <r>
      <rPr>
        <sz val="10"/>
        <rFont val="Noto Sans CJK SC"/>
        <family val="2"/>
      </rPr>
      <t xml:space="preserve">；接受学生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是；接受吸烟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否；接受 </t>
    </r>
    <r>
      <rPr>
        <sz val="10"/>
        <rFont val="Arial"/>
        <family val="0"/>
        <charset val="1"/>
      </rPr>
      <t xml:space="preserve">DSS=</t>
    </r>
    <r>
      <rPr>
        <sz val="10"/>
        <rFont val="Noto Sans CJK SC"/>
        <family val="2"/>
      </rPr>
      <t xml:space="preserve">是</t>
    </r>
  </si>
  <si>
    <t xml:space="preserve">loc_station, price_format, negation</t>
  </si>
  <si>
    <t xml:space="preserve">T-00021</t>
  </si>
  <si>
    <t xml:space="preserve">Furnished 1 bed in Shoreditch, long term, budget up to £4,400 per month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</si>
  <si>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Shoreditch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4,400 pcm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卧；家具 </t>
    </r>
    <r>
      <rPr>
        <sz val="10"/>
        <rFont val="Arial"/>
        <family val="0"/>
        <charset val="1"/>
      </rPr>
      <t xml:space="preserve">furnished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</si>
  <si>
    <t xml:space="preserve">abbrev_layout, price_format, multi_constraint</t>
  </si>
  <si>
    <t xml:space="preserve">T-00033</t>
  </si>
  <si>
    <t xml:space="preserve">after a furnished 3 bed 1 bath flat in Muswell Hill for a long let from April 2026.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</si>
  <si>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Muswell Hill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  <r>
      <rPr>
        <sz val="10"/>
        <rFont val="Noto Sans CJK SC"/>
        <family val="2"/>
      </rPr>
      <t xml:space="preserve">；入住 </t>
    </r>
    <r>
      <rPr>
        <sz val="10"/>
        <rFont val="Arial"/>
        <family val="0"/>
        <charset val="1"/>
      </rPr>
      <t xml:space="preserve">2026-04</t>
    </r>
  </si>
  <si>
    <t xml:space="preserve">abbrev_layout, multi_constraint, casual</t>
  </si>
  <si>
    <t xml:space="preserve">T-00038</t>
  </si>
  <si>
    <t xml:space="preserve">Furnished 1b1b within walking distance to Northfields, long let only, up to £370 a week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</si>
  <si>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Northfields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370 pw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卫；家具 </t>
    </r>
    <r>
      <rPr>
        <sz val="10"/>
        <rFont val="Arial"/>
        <family val="0"/>
        <charset val="1"/>
      </rPr>
      <t xml:space="preserve">furnished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</si>
  <si>
    <t xml:space="preserve">loc_station, abbrev_layout, price_format</t>
  </si>
  <si>
    <t xml:space="preserve">T-00046</t>
  </si>
  <si>
    <t xml:space="preserve">got any places close to Hoxton for max £580pw?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</si>
  <si>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Hoxton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580 pw</t>
    </r>
  </si>
  <si>
    <t xml:space="preserve">loc_station, price_pw, casual</t>
  </si>
  <si>
    <t xml:space="preserve">T-00069</t>
  </si>
  <si>
    <t xml:space="preserve">Show me furnished 2 bed 1 bath short lets where students are accepted, with bills inc and no smokers allowed.</t>
  </si>
  <si>
    <r>
      <rPr>
        <sz val="10"/>
        <rFont val="Noto Sans CJK SC"/>
        <family val="2"/>
      </rPr>
      <t xml:space="preserve">户型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卫；家具 </t>
    </r>
    <r>
      <rPr>
        <sz val="10"/>
        <rFont val="Arial"/>
        <family val="0"/>
        <charset val="1"/>
      </rPr>
      <t xml:space="preserve">furnished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short term</t>
    </r>
    <r>
      <rPr>
        <sz val="10"/>
        <rFont val="Noto Sans CJK SC"/>
        <family val="2"/>
      </rPr>
      <t xml:space="preserve">；含账单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是；接受学生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是；接受吸烟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否</t>
    </r>
  </si>
  <si>
    <t xml:space="preserve">negation, uk_jargon, abbrev_layout</t>
  </si>
  <si>
    <t xml:space="preserve">T-00081</t>
  </si>
  <si>
    <t xml:space="preserve">3 bed flat close to Maryland, has to accept students but not smokers, up to £2,500 a month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</si>
  <si>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Maryland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2,500 pcm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；接受学生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是；接受吸烟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否</t>
    </r>
  </si>
  <si>
    <t xml:space="preserve">loc_station, negation, price_format</t>
  </si>
  <si>
    <t xml:space="preserve">T-00086</t>
  </si>
  <si>
    <t xml:space="preserve">Furnished long-term rental in Knightsbridge, no more than £3,530 a week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</si>
  <si>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Knightsbridge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3,530 pw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</si>
  <si>
    <t xml:space="preserve">price_format</t>
  </si>
  <si>
    <t xml:space="preserve">T-00091</t>
  </si>
  <si>
    <t xml:space="preserve">I'm looking for a two-bedroom, two-bathroom home on a long-term let.</t>
  </si>
  <si>
    <r>
      <rPr>
        <sz val="10"/>
        <rFont val="Noto Sans CJK SC"/>
        <family val="2"/>
      </rPr>
      <t xml:space="preserve">户型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卫；租期 </t>
    </r>
    <r>
      <rPr>
        <sz val="10"/>
        <rFont val="Arial"/>
        <family val="0"/>
        <charset val="1"/>
      </rPr>
      <t xml:space="preserve">long term</t>
    </r>
  </si>
  <si>
    <t xml:space="preserve">T-00113</t>
  </si>
  <si>
    <t xml:space="preserve">1b1b flat near Manor Hosue, long let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</si>
  <si>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Manor Hosue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</si>
  <si>
    <t xml:space="preserve">loc_typo, abbrev_layout</t>
  </si>
  <si>
    <t xml:space="preserve">T-00118</t>
  </si>
  <si>
    <t xml:space="preserve">Furnished place near Brent Cross that allows smokers, £340pw max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</si>
  <si>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Brent Cross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340 pw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  <r>
      <rPr>
        <sz val="10"/>
        <rFont val="Noto Sans CJK SC"/>
        <family val="2"/>
      </rPr>
      <t xml:space="preserve">；接受吸烟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是</t>
    </r>
  </si>
  <si>
    <t xml:space="preserve">loc_station, price_pw</t>
  </si>
  <si>
    <t xml:space="preserve">T-00119</t>
  </si>
  <si>
    <t xml:space="preserve">anything to rent in Enfeild?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</si>
  <si>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Enfeild</t>
    </r>
  </si>
  <si>
    <t xml:space="preserve">loc_typo, casual</t>
  </si>
  <si>
    <t xml:space="preserve">T-00127</t>
  </si>
  <si>
    <t xml:space="preserve">Please search near North Acton for a furnished home that accepts families, under £1,750 per month.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</si>
  <si>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North Acton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1,750 pcm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  <r>
      <rPr>
        <sz val="10"/>
        <rFont val="Noto Sans CJK SC"/>
        <family val="2"/>
      </rPr>
      <t xml:space="preserve">；接受家庭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是</t>
    </r>
  </si>
  <si>
    <t xml:space="preserve">loc_station, price_format</t>
  </si>
  <si>
    <t xml:space="preserve">T-00130</t>
  </si>
  <si>
    <t xml:space="preserve">One-bedroom flat on a long let, budget no more than £1,950 a month</t>
  </si>
  <si>
    <r>
      <rPr>
        <sz val="10"/>
        <rFont val="Noto Sans CJK SC"/>
        <family val="2"/>
      </rPr>
      <t xml:space="preserve">预算 ≤ </t>
    </r>
    <r>
      <rPr>
        <sz val="10"/>
        <rFont val="Arial"/>
        <family val="0"/>
        <charset val="1"/>
      </rPr>
      <t xml:space="preserve">1,950 pcm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</si>
  <si>
    <t xml:space="preserve">T-00131</t>
  </si>
  <si>
    <t xml:space="preserve">Furnished place in N7 for no more than £330 a week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</si>
  <si>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N7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330 pw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</si>
  <si>
    <t xml:space="preserve">loc_postcode, price_format</t>
  </si>
  <si>
    <t xml:space="preserve">T-00136</t>
  </si>
  <si>
    <t xml:space="preserve">anything close to westcombe park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</si>
  <si>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westcombe park</t>
    </r>
  </si>
  <si>
    <t xml:space="preserve">loc_station, casual</t>
  </si>
  <si>
    <t xml:space="preserve">T-00152</t>
  </si>
  <si>
    <t xml:space="preserve">I'm looking to rent somewhere in Pimlico.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</si>
  <si>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Pimlico</t>
    </r>
  </si>
  <si>
    <t xml:space="preserve">T-00162</t>
  </si>
  <si>
    <t xml:space="preserve">Search W12 for a one-bedroom home that accepts both families and student tenants.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</si>
  <si>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W12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卧；接受学生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是；接受家庭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是</t>
    </r>
  </si>
  <si>
    <t xml:space="preserve">loc_postcode</t>
  </si>
  <si>
    <t xml:space="preserve">T-00176</t>
  </si>
  <si>
    <t xml:space="preserve">Part-furnished long-term let near Regent's Park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</si>
  <si>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Regent's Park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part-furnished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</si>
  <si>
    <t xml:space="preserve">loc_station</t>
  </si>
  <si>
    <t xml:space="preserve">T-00182</t>
  </si>
  <si>
    <t xml:space="preserve">Please find furnished 3 bed flats near Tottenham Court Road for a long let, costing no more than £2,250 a week.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</si>
  <si>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Tottenham Court Road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2,250 pw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</si>
  <si>
    <t xml:space="preserve">loc_station, price_format, abbrev_layout</t>
  </si>
  <si>
    <t xml:space="preserve">T-00183</t>
  </si>
  <si>
    <t xml:space="preserve">I have a maximum budget of £2,600 pcm for a furnished studio.</t>
  </si>
  <si>
    <r>
      <rPr>
        <sz val="10"/>
        <rFont val="Noto Sans CJK SC"/>
        <family val="2"/>
      </rPr>
      <t xml:space="preserve">预算 ≤ </t>
    </r>
    <r>
      <rPr>
        <sz val="10"/>
        <rFont val="Arial"/>
        <family val="0"/>
        <charset val="1"/>
      </rPr>
      <t xml:space="preserve">2,600 pcm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</si>
  <si>
    <t xml:space="preserve">price_pcm</t>
  </si>
  <si>
    <t xml:space="preserve">T-00198</t>
  </si>
  <si>
    <t xml:space="preserve">1b1b near Aldgate, long let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</si>
  <si>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Aldgate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卫；租期 </t>
    </r>
    <r>
      <rPr>
        <sz val="10"/>
        <rFont val="Arial"/>
        <family val="0"/>
        <charset val="1"/>
      </rPr>
      <t xml:space="preserve">long term</t>
    </r>
  </si>
  <si>
    <t xml:space="preserve">loc_station, abbrev_layout</t>
  </si>
  <si>
    <t xml:space="preserve">T-00201</t>
  </si>
  <si>
    <t xml:space="preserve">A furnished studio in Hampstead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</si>
  <si>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Hampstead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</si>
  <si>
    <t xml:space="preserve">T-00208</t>
  </si>
  <si>
    <t xml:space="preserve">My budget is £3,600 pcm maximum for a four-bedroom home near Bethnal Green on a long-term let.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</si>
  <si>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Bethnal Green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3,600 pcm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卧；租期 </t>
    </r>
    <r>
      <rPr>
        <sz val="10"/>
        <rFont val="Arial"/>
        <family val="0"/>
        <charset val="1"/>
      </rPr>
      <t xml:space="preserve">long term</t>
    </r>
  </si>
  <si>
    <t xml:space="preserve">loc_station, price_pcm</t>
  </si>
  <si>
    <t xml:space="preserve">T-00209</t>
  </si>
  <si>
    <t xml:space="preserve">Unfurnished four-bed close to Hampstead Heath on a long let, can't go over £870 a week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</si>
  <si>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Hampstead Heath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870 pw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卧；家具 </t>
    </r>
    <r>
      <rPr>
        <sz val="10"/>
        <rFont val="Arial"/>
        <family val="0"/>
        <charset val="1"/>
      </rPr>
      <t xml:space="preserve">unfurnished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</si>
  <si>
    <t xml:space="preserve">loc_station, price_format, multi_constraint</t>
  </si>
  <si>
    <t xml:space="preserve">T-00212</t>
  </si>
  <si>
    <t xml:space="preserve">I'm after a 3 bed 1 bath flat for a long let, with rent capped at £2,350 a month.</t>
  </si>
  <si>
    <r>
      <rPr>
        <sz val="10"/>
        <rFont val="Noto Sans CJK SC"/>
        <family val="2"/>
      </rPr>
      <t xml:space="preserve">预算 ≤ </t>
    </r>
    <r>
      <rPr>
        <sz val="10"/>
        <rFont val="Arial"/>
        <family val="0"/>
        <charset val="1"/>
      </rPr>
      <t xml:space="preserve">2,350 pcm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</si>
  <si>
    <t xml:space="preserve">price_format, abbrev_layout</t>
  </si>
  <si>
    <t xml:space="preserve">T-00217</t>
  </si>
  <si>
    <t xml:space="preserve">2 bed long let in westminister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</si>
  <si>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westminister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卧；租期 </t>
    </r>
    <r>
      <rPr>
        <sz val="10"/>
        <rFont val="Arial"/>
        <family val="0"/>
        <charset val="1"/>
      </rPr>
      <t xml:space="preserve">long term</t>
    </r>
  </si>
  <si>
    <t xml:space="preserve">T-00230</t>
  </si>
  <si>
    <t xml:space="preserve">looking to move in March 2026, need an unfurnished two-bedroom flat with two bathrooms for a long let at max £2,900 pcm.</t>
  </si>
  <si>
    <r>
      <rPr>
        <sz val="10"/>
        <rFont val="Noto Sans CJK SC"/>
        <family val="2"/>
      </rPr>
      <t xml:space="preserve">预算 ≤ </t>
    </r>
    <r>
      <rPr>
        <sz val="10"/>
        <rFont val="Arial"/>
        <family val="0"/>
        <charset val="1"/>
      </rPr>
      <t xml:space="preserve">2,900 pcm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卫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unfurnished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  <r>
      <rPr>
        <sz val="10"/>
        <rFont val="Noto Sans CJK SC"/>
        <family val="2"/>
      </rPr>
      <t xml:space="preserve">；入住 </t>
    </r>
    <r>
      <rPr>
        <sz val="10"/>
        <rFont val="Arial"/>
        <family val="0"/>
        <charset val="1"/>
      </rPr>
      <t xml:space="preserve">2026-03</t>
    </r>
  </si>
  <si>
    <t xml:space="preserve">price_pcm, multi_constraint, casual</t>
  </si>
  <si>
    <t xml:space="preserve">T-00238</t>
  </si>
  <si>
    <t xml:space="preserve">Rentals near Barons Court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</si>
  <si>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Barons Court</t>
    </r>
  </si>
  <si>
    <t xml:space="preserve">T-00246</t>
  </si>
  <si>
    <t xml:space="preserve">Near Knightsbridge, can you find a two-bedroom home with one bathroom for a long let at a maximum of £1,160pw?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</si>
  <si>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Knightsbridge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1,160 pw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卫；租期 </t>
    </r>
    <r>
      <rPr>
        <sz val="10"/>
        <rFont val="Arial"/>
        <family val="0"/>
        <charset val="1"/>
      </rPr>
      <t xml:space="preserve">long term</t>
    </r>
  </si>
  <si>
    <t xml:space="preserve">T-00247</t>
  </si>
  <si>
    <t xml:space="preserve">Please find me a 2 bed 2 bath place.</t>
  </si>
  <si>
    <r>
      <rPr>
        <sz val="10"/>
        <rFont val="Noto Sans CJK SC"/>
        <family val="2"/>
      </rPr>
      <t xml:space="preserve">户型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卫</t>
    </r>
  </si>
  <si>
    <t xml:space="preserve">abbrev_layout</t>
  </si>
  <si>
    <t xml:space="preserve">T-00259</t>
  </si>
  <si>
    <t xml:space="preserve">软偏好</t>
  </si>
  <si>
    <t xml:space="preserve">Need a furnished 2 bed in NW3 for no more than £1,020 a week, ideally with some balcony space and a kitchen with up-to-date appliances.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</si>
  <si>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NW3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1,020 pw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卧；家具 </t>
    </r>
    <r>
      <rPr>
        <sz val="10"/>
        <rFont val="Arial"/>
        <family val="0"/>
        <charset val="1"/>
      </rPr>
      <t xml:space="preserve">furnished</t>
    </r>
  </si>
  <si>
    <t xml:space="preserve">some balcony space / a kitchen with up-to-date appliances</t>
  </si>
  <si>
    <t xml:space="preserve">loc_postcode, abbrev_layout, price_format</t>
  </si>
  <si>
    <t xml:space="preserve">T-00267</t>
  </si>
  <si>
    <t xml:space="preserve">Can you find somewhere near Crickelwood? I really need plenty of daylight.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</si>
  <si>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Crickelwood</t>
    </r>
  </si>
  <si>
    <t xml:space="preserve">plenty of daylight</t>
  </si>
  <si>
    <t xml:space="preserve">loc_typo</t>
  </si>
  <si>
    <t xml:space="preserve">T-00270</t>
  </si>
  <si>
    <t xml:space="preserve">shoreditch under 2.35k a month, bonus if it's got exposed brick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</si>
  <si>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shoreditch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2,350 pcm</t>
    </r>
  </si>
  <si>
    <t xml:space="preserve">exposed brick</t>
  </si>
  <si>
    <t xml:space="preserve">price_format, casual</t>
  </si>
  <si>
    <t xml:space="preserve">T-00273</t>
  </si>
  <si>
    <t xml:space="preserve">Show me homes near Grange Park; a patio for sitting outside and a park nearby would be nice.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</si>
  <si>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Grange Park</t>
    </r>
  </si>
  <si>
    <t xml:space="preserve">a patio for sitting outside / a park nearby</t>
  </si>
  <si>
    <t xml:space="preserve">T-00275</t>
  </si>
  <si>
    <t xml:space="preserve">2b2b in NW3 for no more than £2,460 per week, ideally with green space nearby.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</si>
  <si>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NW3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2,460 pw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卫</t>
    </r>
  </si>
  <si>
    <t xml:space="preserve">green space nearby</t>
  </si>
  <si>
    <t xml:space="preserve">T-00289</t>
  </si>
  <si>
    <t xml:space="preserve">need a furnished two-bedroom flat with one bathroom for a long let from March 2026; I really need lots of daylight, and a calm street would be nice</t>
  </si>
  <si>
    <r>
      <rPr>
        <sz val="10"/>
        <rFont val="Noto Sans CJK SC"/>
        <family val="2"/>
      </rPr>
      <t xml:space="preserve">户型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  <r>
      <rPr>
        <sz val="10"/>
        <rFont val="Noto Sans CJK SC"/>
        <family val="2"/>
      </rPr>
      <t xml:space="preserve">；入住 </t>
    </r>
    <r>
      <rPr>
        <sz val="10"/>
        <rFont val="Arial"/>
        <family val="0"/>
        <charset val="1"/>
      </rPr>
      <t xml:space="preserve">2026-03</t>
    </r>
  </si>
  <si>
    <t xml:space="preserve">lots of daylight / a calm street</t>
  </si>
  <si>
    <t xml:space="preserve">casual</t>
  </si>
  <si>
    <t xml:space="preserve">T-00290</t>
  </si>
  <si>
    <t xml:space="preserve">1 bed in E2 from April 2026, under £450 a week, ideally with a big kitchen diner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</si>
  <si>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E2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450 pw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卧；入住 </t>
    </r>
    <r>
      <rPr>
        <sz val="10"/>
        <rFont val="Arial"/>
        <family val="0"/>
        <charset val="1"/>
      </rPr>
      <t xml:space="preserve">2026-04</t>
    </r>
  </si>
  <si>
    <t xml:space="preserve">a big kitchen diner</t>
  </si>
  <si>
    <t xml:space="preserve">T-00301</t>
  </si>
  <si>
    <t xml:space="preserve">Up to £1,700 pcm for an unfurnished place near Enfeild Lock, ideally with my own front door.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</si>
  <si>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Enfeild Lock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1,700 pcm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unfurnished</t>
    </r>
  </si>
  <si>
    <t xml:space="preserve">my own front door</t>
  </si>
  <si>
    <t xml:space="preserve">loc_typo, price_pcm</t>
  </si>
  <si>
    <t xml:space="preserve">T-00308</t>
  </si>
  <si>
    <t xml:space="preserve">Furnished 3 bed flat in Knightsbridge, £3,270pw max, ideally a west-facing living room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</si>
  <si>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Knightsbridge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3,270 pw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</si>
  <si>
    <t xml:space="preserve">a west-facing living room</t>
  </si>
  <si>
    <t xml:space="preserve">price_pw</t>
  </si>
  <si>
    <t xml:space="preserve">T-00333</t>
  </si>
  <si>
    <t xml:space="preserve">My budget is £1,800 pcm max; a machine for both washing and drying would be handy.</t>
  </si>
  <si>
    <r>
      <rPr>
        <sz val="10"/>
        <rFont val="Noto Sans CJK SC"/>
        <family val="2"/>
      </rPr>
      <t xml:space="preserve">预算 ≤ </t>
    </r>
    <r>
      <rPr>
        <sz val="10"/>
        <rFont val="Arial"/>
        <family val="0"/>
        <charset val="1"/>
      </rPr>
      <t xml:space="preserve">1,800 pcm</t>
    </r>
  </si>
  <si>
    <t xml:space="preserve">a machine for both washing and drying</t>
  </si>
  <si>
    <t xml:space="preserve">T-00335</t>
  </si>
  <si>
    <t xml:space="preserve">Show me homes in Hampsted, ideally with period character and a custom-designed kitchen.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</si>
  <si>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Hampsted</t>
    </r>
  </si>
  <si>
    <t xml:space="preserve">period character / a custom-designed kitchen</t>
  </si>
  <si>
    <t xml:space="preserve">T-00339</t>
  </si>
  <si>
    <t xml:space="preserve">I need a furnished studio for a long let at no more than £300 a week; I really need a bright interior, and wood flooring would be a bonus.</t>
  </si>
  <si>
    <r>
      <rPr>
        <sz val="10"/>
        <rFont val="Noto Sans CJK SC"/>
        <family val="2"/>
      </rPr>
      <t xml:space="preserve">预算 ≤ </t>
    </r>
    <r>
      <rPr>
        <sz val="10"/>
        <rFont val="Arial"/>
        <family val="0"/>
        <charset val="1"/>
      </rPr>
      <t xml:space="preserve">300 pw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</si>
  <si>
    <t xml:space="preserve">a bright interior / wood flooring</t>
  </si>
  <si>
    <t xml:space="preserve">abbrev_layout, price_format</t>
  </si>
  <si>
    <t xml:space="preserve">意图</t>
  </si>
  <si>
    <t xml:space="preserve">T-00353</t>
  </si>
  <si>
    <t xml:space="preserve">Furnished 1b flat in SW7, long let, moving in June 2026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</si>
  <si>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SW7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  <r>
      <rPr>
        <sz val="10"/>
        <rFont val="Noto Sans CJK SC"/>
        <family val="2"/>
      </rPr>
      <t xml:space="preserve">；入住 </t>
    </r>
    <r>
      <rPr>
        <sz val="10"/>
        <rFont val="Arial"/>
        <family val="0"/>
        <charset val="1"/>
      </rPr>
      <t xml:space="preserve">2026-06</t>
    </r>
  </si>
  <si>
    <t xml:space="preserve">loc_postcode, abbrev_layout, multi_constraint</t>
  </si>
  <si>
    <t xml:space="preserve">T-00355</t>
  </si>
  <si>
    <t xml:space="preserve">Please look in Maida Vale for a one-bedroom apartment with one bathroom on a long-term let, no more than £4,900 a month.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</si>
  <si>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Maida Vale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4,900 pcm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</si>
  <si>
    <t xml:space="preserve">T-00370</t>
  </si>
  <si>
    <t xml:space="preserve">Find me a place to rent close to Belsize Park.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</si>
  <si>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Belsize Park</t>
    </r>
  </si>
  <si>
    <t xml:space="preserve">T-00373</t>
  </si>
  <si>
    <t xml:space="preserve">unfurnished places near Cambrige Heath please, £3,750 pcm max.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</si>
  <si>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Cambrige Heath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3,750 pcm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unfurnished</t>
    </r>
  </si>
  <si>
    <t xml:space="preserve">loc_typo, price_pcm, casual</t>
  </si>
  <si>
    <t xml:space="preserve">T-00383</t>
  </si>
  <si>
    <t xml:space="preserve">Please keep rent to £890 a week or less and search in W1T.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</si>
  <si>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W1T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890 pw</t>
    </r>
  </si>
  <si>
    <t xml:space="preserve">T-00389</t>
  </si>
  <si>
    <t xml:space="preserve">For a long let in Shorditch, show me a furnished 2b2b flat at no more than £3,250 per month.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</si>
  <si>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Shorditch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3,250 pcm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卫 </t>
    </r>
    <r>
      <rPr>
        <sz val="10"/>
        <rFont val="Arial"/>
        <family val="0"/>
        <charset val="1"/>
      </rPr>
      <t xml:space="preserve">flat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</si>
  <si>
    <t xml:space="preserve">loc_typo, price_format, abbrev_layout</t>
  </si>
  <si>
    <t xml:space="preserve">T-00393</t>
  </si>
  <si>
    <t xml:space="preserve">a studio please, £440pw is my limit.</t>
  </si>
  <si>
    <r>
      <rPr>
        <sz val="10"/>
        <rFont val="Noto Sans CJK SC"/>
        <family val="2"/>
      </rPr>
      <t xml:space="preserve">预算 ≤ </t>
    </r>
    <r>
      <rPr>
        <sz val="10"/>
        <rFont val="Arial"/>
        <family val="0"/>
        <charset val="1"/>
      </rPr>
      <t xml:space="preserve">440 pw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卫 </t>
    </r>
    <r>
      <rPr>
        <sz val="10"/>
        <rFont val="Arial"/>
        <family val="0"/>
        <charset val="1"/>
      </rPr>
      <t xml:space="preserve">flat</t>
    </r>
  </si>
  <si>
    <t xml:space="preserve">price_pw, casual</t>
  </si>
  <si>
    <t xml:space="preserve">T-00400</t>
  </si>
  <si>
    <t xml:space="preserve">got a 1 bed in Lewisham for a long let, max £430pw?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</si>
  <si>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Lewisham</t>
    </r>
    <r>
      <rPr>
        <sz val="10"/>
        <rFont val="Noto Sans CJK SC"/>
        <family val="2"/>
      </rPr>
      <t xml:space="preserve">；预算 ≤ </t>
    </r>
    <r>
      <rPr>
        <sz val="10"/>
        <rFont val="Arial"/>
        <family val="0"/>
        <charset val="1"/>
      </rPr>
      <t xml:space="preserve">430 pw</t>
    </r>
    <r>
      <rPr>
        <sz val="10"/>
        <rFont val="Noto Sans CJK SC"/>
        <family val="2"/>
      </rPr>
      <t xml:space="preserve">；户型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卧；租期 </t>
    </r>
    <r>
      <rPr>
        <sz val="10"/>
        <rFont val="Arial"/>
        <family val="0"/>
        <charset val="1"/>
      </rPr>
      <t xml:space="preserve">long term</t>
    </r>
  </si>
  <si>
    <t xml:space="preserve">abbrev_layout, price_pw, casual</t>
  </si>
  <si>
    <t xml:space="preserve">T-00404</t>
  </si>
  <si>
    <t xml:space="preserve">追问</t>
  </si>
  <si>
    <t xml:space="preserve">1. 2 bed flat, Knightsbridge (SW3), £3,600 pcm, furnished
2. 3 bed flat, Knightsbridge (SW1X), £12,978 pcm, unfurnished
3. 3 bed flat, Knightsbridge (SW3), £8,883 pcm, furnished
4. 5 bed flat, Knightsbridge (SW1X), £13,900 pcm, furnished
5. 3 bed flat, Knightsbridge (SW3), £13,000 pcm</t>
  </si>
  <si>
    <t xml:space="preserve">Could we switch the search to Bethnal Green?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</si>
  <si>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Bethnal Green</t>
    </r>
  </si>
  <si>
    <t xml:space="preserve">T-00412</t>
  </si>
  <si>
    <t xml:space="preserve">1. 2 bed flat, Hackney (N1), £3,750 pcm, furnished
2. 2 bed flat, Bethnal Green (E2), £2,600 pcm, furnished
3. 1 bed flat, Hackney (EC2A), £3,683 pcm, furnished
4. Studio flat, Hackney (EC1V), £2,500 pcm, furnished
5. 1 bed flat, Bethnal Green (E2), £3,012 pcm, furnished</t>
  </si>
  <si>
    <t xml:space="preserve">Try long-term rentals in Knightsbrdge instead.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</si>
  <si>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Knightsbrdge</t>
    </r>
    <r>
      <rPr>
        <sz val="10"/>
        <rFont val="Noto Sans CJK SC"/>
        <family val="2"/>
      </rPr>
      <t xml:space="preserve">；租期 </t>
    </r>
    <r>
      <rPr>
        <sz val="10"/>
        <rFont val="Arial"/>
        <family val="0"/>
        <charset val="1"/>
      </rPr>
      <t xml:space="preserve">long term</t>
    </r>
  </si>
  <si>
    <t xml:space="preserve">T-00427</t>
  </si>
  <si>
    <t xml:space="preserve">1. 3 bed flat, Knightsbridge, £65,000 pcm, furnished
2. 2 bed flat, Knightsbridge (SW3), £4,550 pcm, unfurnished
3. 2 bed flat, Knightsbridge (SW1X), £5,200 pcm, part-furnished
4. 2 bed flat, Knightsbridge (SW3), £3,705 pcm, furnished
5. 3 bed flat, Knightsbridge (SW1X), £28,167 pcm, furnished</t>
  </si>
  <si>
    <t xml:space="preserve">Furnished ones near Moorgat?</t>
  </si>
  <si>
    <r>
      <rPr>
        <sz val="10"/>
        <rFont val="Noto Sans CJK SC"/>
        <family val="2"/>
      </rPr>
      <t xml:space="preserve">地点 </t>
    </r>
    <r>
      <rPr>
        <sz val="10"/>
        <rFont val="Arial"/>
        <family val="0"/>
        <charset val="1"/>
      </rPr>
      <t xml:space="preserve">Moorgat</t>
    </r>
    <r>
      <rPr>
        <sz val="10"/>
        <rFont val="Noto Sans CJK SC"/>
        <family val="2"/>
      </rPr>
      <t xml:space="preserve">；家具 </t>
    </r>
    <r>
      <rPr>
        <sz val="10"/>
        <rFont val="Arial"/>
        <family val="0"/>
        <charset val="1"/>
      </rPr>
      <t xml:space="preserve">furnished</t>
    </r>
  </si>
  <si>
    <t xml:space="preserve">T-00434</t>
  </si>
  <si>
    <t xml:space="preserve">问某一套</t>
  </si>
  <si>
    <t xml:space="preserve">1. 1 bed flat, Palmers Green (N22), £1,450 pcm
2. Studio flat, Palmers Green (N13), £1,000 pcm, furnished
3. Studio flat, Palmers Green (N13), £949 pcm, furnished
4. Studio flat, Palmers Green, £950 pcm
5. 3 bed flat, Palmers Green (N13), £2,100 pcm, furnished</t>
  </si>
  <si>
    <t xml:space="preserve">Number 2 looks nice, does it have a garden or a balcony?</t>
  </si>
  <si>
    <t xml:space="preserve">Specific_QA</t>
  </si>
  <si>
    <t xml:space="preserve">（全部为空）</t>
  </si>
  <si>
    <t xml:space="preserve">T-00442</t>
  </si>
  <si>
    <t xml:space="preserve">1. 1 bed flat, Southwark (SE15), £2,200 pcm, unfurnished
2. 3 bed flat, Southwark (SE1), £4,150 pcm
3. 1 bed flat, Southwark, £2,050 pcm, furnished
4. 2 bed flat, Southwark (SE16), £2,500 pcm, furnished
5. 3 bed flat, Southwark, £3,098 pcm, furnished</t>
  </si>
  <si>
    <t xml:space="preserve">I'm keen on the 4th, when could I move into it?</t>
  </si>
  <si>
    <t xml:space="preserve">T-00447</t>
  </si>
  <si>
    <t xml:space="preserve">1. 1 bed flat, Islington (N19), £1,530 pcm, unfurnished
2. 2 bed flat, Hackney (N1), £3,467 pcm, furnished
3. 2 bed flat, Islington (N5), £4,750 pcm, furnished
4. 2 bed flat, Islington (EC1V), £3,250 pcm, part-furnished
5. 1 bed flat, Clerkenwell (EC1V), £4,050 pcm</t>
  </si>
  <si>
    <t xml:space="preserve">For the cheapest two-bed, which bits of furniture come with the flat?</t>
  </si>
  <si>
    <t xml:space="preserve">T-00450</t>
  </si>
  <si>
    <t xml:space="preserve">1. Studio flat, Hampstead (NW3), £1,300 pcm, furnished
2. 0 bed flat, Hampstead (NW3), £1,750 pcm, unfurnished
3. 2 bed flat, Hampstead (NW11), £2,200 pcm, unfurnished
4. 4 bed flat, Hampstead (NW3), £10,400 pcm
5. 2 bed flat, Hampstead (NW3), £4,767 pcm, unfurnished</t>
  </si>
  <si>
    <t xml:space="preserve">What furniture comes with the £2,200 one?</t>
  </si>
  <si>
    <t xml:space="preserve">T-00481</t>
  </si>
  <si>
    <t xml:space="preserve">1. 2 bed flat, Canary Wharf (E14), £2,595 pcm, furnished
2. 1 bed flat, Canary Wharf (E14), £3,181 pcm, furnished
3. 2 bed flat, Canary Wharf (E22), £4,290 pcm, furnished
4. 2 bed flat, Canary Wharf (E22), £3,500 pcm, furnished
5. 2 bed flat, Canary Wharf (E14), £4,117 pcm, furnished</t>
  </si>
  <si>
    <t xml:space="preserve">Do they accept student tenants at the one-bedroom flat in Canary Wharf?</t>
  </si>
  <si>
    <t xml:space="preserve">T-00483</t>
  </si>
  <si>
    <t xml:space="preserve">1. 3 bed flat, Knightsbridge (SW1X), £9,100 pcm, furnished
2. 2 bed flat, Knightsbridge (SW3), £15,817 pcm, furnished
3. 4 bed flat, Knightsbridge, £41,167 pcm, furnished
4. 2 bed flat, Knightsbridge (SW7), £8,450 pcm, unfurnished
5. 3 bed flat, Knightsbridge (SW3), £8,450 pcm</t>
  </si>
  <si>
    <t xml:space="preserve">What's the minimum tenancy for the most expensive three-bedroom flat?</t>
  </si>
  <si>
    <t xml:space="preserve">T-00499</t>
  </si>
  <si>
    <t xml:space="preserve">1. 2 bed flat, Finchley (N3), £2,200 pcm, part-furnished
2. 1 bed flat, Finchley (N2), £1,575 pcm, furnished
3. 2 bed flat, Finchley (N3), £2,500 pcm, furnished
4. Studio flat, Finchley (N3), £1,625 pcm, furnished
5. 2 bed flat, Finchley (N12), £1,750 pcm, furnished</t>
  </si>
  <si>
    <t xml:space="preserve">Do you know what broadband is available at the £1,625 flat?</t>
  </si>
  <si>
    <t xml:space="preserve">T-00505</t>
  </si>
  <si>
    <t xml:space="preserve">1. 2 bed flat, Whitechapel (E1), £2,100 pcm, unfurnished
2. 3 bed flat, Bethnal Green (E2), £5,450 pcm, furnished
3. 0 bed flat, Bethnal Green (E2), £1,775 pcm, unfurnished
4. 2 bed flat, Bethnal Green (E2), £2,800 pcm, part-furnished
5. 2 bed flat, Bethnal Green (E1), £3,700 pcm, furnished</t>
  </si>
  <si>
    <t xml:space="preserve">I'm asking about the £1,775 flat. Which station would be closest to it?</t>
  </si>
  <si>
    <t xml:space="preserve">T-00513</t>
  </si>
  <si>
    <t xml:space="preserve">1. 3 bed flat, Enfield, £3,800 pcm
2. 2 bed flat, Winchmore Hill (N21), £1,800 pcm, unfurnished
3. 1 bed flat, Edmonton, £1,200 pcm, unfurnished
4. 2 bed flat, Enfield (EN2), £1,750 pcm, unfurnished
5. 1 bed flat, Enfield, £1,600 pcm, part-furnished</t>
  </si>
  <si>
    <t xml:space="preserve">How much is the deposit on the one-bedroom place in Enfield?</t>
  </si>
  <si>
    <t xml:space="preserve">T-00514</t>
  </si>
  <si>
    <t xml:space="preserve">1. 3 bed flat, Paddington (W2), £7,020 pcm
2. 1 bed flat, Paddington, £2,600 pcm, furnished
3. 3 bed flat, Paddington (W2), £7,345 pcm, furnished
4. 2 bed flat, Paddington (W2), £5,000 pcm
5. 1 bed flat, Paddington (W2), £3,600 pcm, furnished</t>
  </si>
  <si>
    <t xml:space="preserve">What's the deposit on the £5,000 Paddington flat?</t>
  </si>
  <si>
    <t xml:space="preserve">T-00519</t>
  </si>
  <si>
    <t xml:space="preserve">比较</t>
  </si>
  <si>
    <t xml:space="preserve">1. 3 bed flat, Hackney (N4), £4,500 pcm, furnished
2. 1 bed flat, Hackney (N4), £2,250 pcm
3. 1 bed flat, Finsbury Park (N4), £1,650 pcm, furnished
4. 3 bed flat, Finsbury Park (N4), £2,100 pcm, unfurnished
5. 3 bed flat, Islington, £3,750 pcm, furnished</t>
  </si>
  <si>
    <t xml:space="preserve">How do all five stack up for location and getting around?</t>
  </si>
  <si>
    <t xml:space="preserve">Compare</t>
  </si>
  <si>
    <t xml:space="preserve">T-00526</t>
  </si>
  <si>
    <t xml:space="preserve">1. 2 bed flat, Streatham (SW16), £1,900 pcm, furnished
2. 3 bed flat, Tooting (SW17), £2,650 pcm
3. 2 bed flat, Tooting, £2,400 pcm
4. 3 bed flat, Tooting (SW17), £5,200 pcm
5. 2 bed flat, Tooting (SW17), £3,500 pcm</t>
  </si>
  <si>
    <t xml:space="preserve">Put them in order from cheapest to most expensive</t>
  </si>
  <si>
    <t xml:space="preserve">T-00527</t>
  </si>
  <si>
    <t xml:space="preserve">1. 3 bed flat, Hackney (N16), £3,098 pcm
2. 1 bed flat, Hackney (EC2A), £3,300 pcm, unfurnished
3. 2 bed flat, Hackney (EC2A), £4,800 pcm, furnished
4. 3 bed flat, Hackney, £3,600 pcm, unfurnished
5. 1 bed flat, Bethnal Green (E2), £2,600 pcm, unfurnished</t>
  </si>
  <si>
    <t xml:space="preserve">What's the difference in size and room layout between the last two?</t>
  </si>
  <si>
    <t xml:space="preserve">T-00531</t>
  </si>
  <si>
    <t xml:space="preserve">1. Studio flat, Hampstead (NW3), £1,325 pcm, furnished
2. Studio flat, Hampstead (NW3), £1,517 pcm, furnished
3. 2 bed flat, Hampstead (NW11), £2,200 pcm, unfurnished
4. 3 bed flat, Hampstead (NW3), £5,252 pcm, part-furnished
5. Studio flat, Hampstead (NW3), £1,390 pcm, furnished</t>
  </si>
  <si>
    <t xml:space="preserve">Talk me through the space and floor plans of listings four and five.</t>
  </si>
  <si>
    <t xml:space="preserve">T-00541</t>
  </si>
  <si>
    <t xml:space="preserve">1. 2 bed flat, Greenwich (SE10), £2,700 pcm, furnished
2. 2 bed flat, Greenwich (SE28), £1,550 pcm, unfurnished
3. 2 bed flat, Greenwich (SE10), £3,000 pcm, furnished
4. 1 bed flat, Greenwich (SE28), £1,675 pcm, furnished
5. 1 bed flat, Greenwich (SE28), £1,800 pcm, unfurnished</t>
  </si>
  <si>
    <t xml:space="preserve">Looking across all five, which would you recommend for two people sharing as a couple?</t>
  </si>
  <si>
    <t xml:space="preserve">T-00555</t>
  </si>
  <si>
    <t xml:space="preserve">1. 1 bed flat, Richmond (TW1), £1,608 pcm, furnished
2. 3 bed flat, Richmond, £3,600 pcm, unfurnished
3. 1 bed flat, Richmond, £1,595 pcm, unfurnished
4. 2 bed flat, Richmond, £2,595 pcm, unfurnished
5. 5 bed flat, Richmond (TW1), £1,083 pcm, furnished</t>
  </si>
  <si>
    <t xml:space="preserve">For a couple moving in together, would you favour the first place or the second?</t>
  </si>
  <si>
    <t xml:space="preserve">T-00568</t>
  </si>
  <si>
    <t xml:space="preserve">1. 0 bed flat, Harlesden (NW10), £1,150 pcm, part-furnished
2. Studio flat, Harlesden (NW10), £999 pcm, furnished
3. 1 bed flat, Harlesden (NW10), £1,775 pcm
4. 3 bed flat, Harlesden (NW10), £2,295 pcm
5. Studio flat, Harlesden (NW10), £1,100 pcm, furnished</t>
  </si>
  <si>
    <t xml:space="preserve">How do 1, 4 and 5 compare in terms of neighbourhood?</t>
  </si>
  <si>
    <t xml:space="preserve">T-00575</t>
  </si>
  <si>
    <t xml:space="preserve">1. 2 bed flat, Hackney (N1), £6,500 pcm
2. 2 bed flat, Whitechapel, £3,250 pcm, furnished
3. 1 bed flat, Hackney (EC1V), £1,790 pcm
4. 2 bed flat, Hackney (EC2A), £4,700 pcm, furnished
5. 1 bed flat, Hackney (EC2A), £3,770 pcm, furnished</t>
  </si>
  <si>
    <t xml:space="preserve">Could you break down the rent differences among listings two, three and four?</t>
  </si>
  <si>
    <t xml:space="preserve">T-00576</t>
  </si>
  <si>
    <t xml:space="preserve">1. 0 bed flat, Hampstead (NW3), £1,599 pcm
2. 3 bed flat, Hampstead, £7,500 pcm
3. Studio flat, Hampstead (NW3), £1,395 pcm, furnished
4. 2 bed flat, Hampstead (NW3), £2,600 pcm, unfurnished
5. 3 bed flat, Hampstead (NW3), £3,800 pcm, furnished</t>
  </si>
  <si>
    <t xml:space="preserve">for two people, 1 or 4?</t>
  </si>
  <si>
    <t xml:space="preserve">T-00579</t>
  </si>
  <si>
    <t xml:space="preserve">1. 1 bed flat, Canary Wharf (E14), £3,298 pcm, furnished
2. 2 bed flat, Canary Wharf (E14), £4,377 pcm
3. 2 bed flat, Canary Wharf (E14), £5,100 pcm, furnished
4. 2 bed flat, Canary Wharf (E14), £4,013 pcm
5. Studio flat, Canary Wharf (E14), £2,847 pcm, furnished</t>
  </si>
  <si>
    <t xml:space="preserve">I'd like to compare the amount of space and the layouts in two, three and five.</t>
  </si>
  <si>
    <t xml:space="preserve">T-00582</t>
  </si>
  <si>
    <t xml:space="preserve">1. 1 bed flat, Knightsbridge (SW3), £3,250 pcm, furnished
2. 3 bed flat, Knightsbridge (SW3), £35,750 pcm, furnished
3. 4 bed flat, Knightsbridge (SW3), £41,167 pcm, furnished
4. 2 bed flat, Knightsbridge (SW1X), £9,403 pcm, furnished
5. 1 bed flat, Knightsbridge, £5,633 pcm, furnished</t>
  </si>
  <si>
    <t xml:space="preserve">Could you compare 1, 3 and 5 for me?</t>
  </si>
  <si>
    <t xml:space="preserve">T-00606</t>
  </si>
  <si>
    <t xml:space="preserve">闲聊</t>
  </si>
  <si>
    <t xml:space="preserve">Are you a real person or a bot?</t>
  </si>
  <si>
    <t xml:space="preserve">Chitchat</t>
  </si>
  <si>
    <t xml:space="preserve">T-00611</t>
  </si>
  <si>
    <t xml:space="preserve">1. 1 bed flat, Southwark, £2,999 pcm, furnished
2. 1 bed flat, Southwark (SE1), £2,383 pcm, furnished
3. 1 bed flat, Southwark, £1,850 pcm
4. 1 bed flat, Southwark, £2,400 pcm, furnished
5. 1 bed flat, Southwark (SE17), £3,800 pcm</t>
  </si>
  <si>
    <t xml:space="preserve">What actually happens during tenant referencing in the UK?</t>
  </si>
  <si>
    <t xml:space="preserve">T-00621</t>
  </si>
  <si>
    <t xml:space="preserve">hiya :)</t>
  </si>
  <si>
    <t xml:space="preserve">T-00624</t>
  </si>
  <si>
    <t xml:space="preserve">Hello!</t>
  </si>
  <si>
    <t xml:space="preserve">T-00625</t>
  </si>
  <si>
    <t xml:space="preserve">Why does the moon sometimes look orange?</t>
  </si>
  <si>
    <t xml:space="preserve">T-00634</t>
  </si>
  <si>
    <t xml:space="preserve">why is renting in London such a nightmare</t>
  </si>
  <si>
    <t xml:space="preserve">T-00635</t>
  </si>
  <si>
    <t xml:space="preserve">Renting in London feels like handing over my entire pay packet every month.</t>
  </si>
  <si>
    <t xml:space="preserve">T-00638</t>
  </si>
  <si>
    <t xml:space="preserve">Good evening</t>
  </si>
  <si>
    <t xml:space="preserve">T-00640</t>
  </si>
  <si>
    <t xml:space="preserve">hey there :)</t>
  </si>
  <si>
    <t xml:space="preserve">T-00657</t>
  </si>
  <si>
    <t xml:space="preserve">Morning, how's it going?</t>
  </si>
  <si>
    <t xml:space="preserve">T-00660</t>
  </si>
  <si>
    <t xml:space="preserve">1. 2 bed flat, Knightsbridge (SW3), £6,500 pcm, furnished
2. 5 bed flat, Knightsbridge (SW7), £99,667 pcm, furnished
3. 3 bed flat, Knightsbridge (SW7), £23,833 pcm, furnished
4. 3 bed flat, Knightsbridge (SW7), £6,175 pcm, furnished
5. 3 bed flat, Knightsbridge (SW1X), £16,250 pcm, furnished</t>
  </si>
  <si>
    <t xml:space="preserve">What does 'let agreed' mean?</t>
  </si>
  <si>
    <t xml:space="preserve">T-00666</t>
  </si>
  <si>
    <t xml:space="preserve">1. 1 bed flat, Southgate, £1,695 pcm, part-furnished
2. 1 bed flat, Southgate, £1,500 pcm, furnished
3. 3 bed flat, Southgate (N14), £1,950 pcm, furnished
4. 1 bed flat, Palmers Green (N13), £1,750 pcm, unfurnished
5. 3 bed flat, Southgate (N14), £2,750 pcm</t>
  </si>
  <si>
    <t xml:space="preserve">Can a landlord refuse tenants on housing benefit?</t>
  </si>
  <si>
    <t xml:space="preserve">T-00674</t>
  </si>
  <si>
    <t xml:space="preserve">How does council tax work for renters?</t>
  </si>
  <si>
    <t xml:space="preserve">抽检汇总（自动计算，不用填写）</t>
  </si>
  <si>
    <t xml:space="preserve">抽检条数</t>
  </si>
  <si>
    <t xml:space="preserve">已判定</t>
  </si>
  <si>
    <t xml:space="preserve">判对</t>
  </si>
  <si>
    <t xml:space="preserve">判错</t>
  </si>
  <si>
    <t xml:space="preserve">错误率（已判定中）</t>
  </si>
  <si>
    <t xml:space="preserve">合计</t>
  </si>
  <si>
    <r>
      <rPr>
        <i val="true"/>
        <sz val="9"/>
        <rFont val="Noto Sans CJK SC"/>
        <family val="2"/>
      </rPr>
      <t xml:space="preserve">抽检样本：</t>
    </r>
    <r>
      <rPr>
        <i val="true"/>
        <sz val="9"/>
        <rFont val="Arial"/>
        <family val="0"/>
        <charset val="1"/>
      </rPr>
      <t xml:space="preserve">data/test_v1/spotcheck_sample.json</t>
    </r>
    <r>
      <rPr>
        <i val="true"/>
        <sz val="9"/>
        <rFont val="Noto Sans CJK SC"/>
        <family val="2"/>
      </rPr>
      <t xml:space="preserve">（种子 </t>
    </r>
    <r>
      <rPr>
        <i val="true"/>
        <sz val="9"/>
        <rFont val="Arial"/>
        <family val="0"/>
        <charset val="1"/>
      </rPr>
      <t xml:space="preserve">15</t>
    </r>
    <r>
      <rPr>
        <i val="true"/>
        <sz val="9"/>
        <rFont val="Noto Sans CJK SC"/>
        <family val="2"/>
      </rPr>
      <t xml:space="preserve">，每个测试集 </t>
    </r>
    <r>
      <rPr>
        <i val="true"/>
        <sz val="9"/>
        <rFont val="Arial"/>
        <family val="0"/>
        <charset val="1"/>
      </rPr>
      <t xml:space="preserve">15%</t>
    </r>
    <r>
      <rPr>
        <i val="true"/>
        <sz val="9"/>
        <rFont val="Noto Sans CJK SC"/>
        <family val="2"/>
      </rPr>
      <t xml:space="preserve">）。错误率过高时，修正后另存测试集 </t>
    </r>
    <r>
      <rPr>
        <i val="true"/>
        <sz val="9"/>
        <rFont val="Arial"/>
        <family val="0"/>
        <charset val="1"/>
      </rPr>
      <t xml:space="preserve">v2</t>
    </r>
    <r>
      <rPr>
        <i val="true"/>
        <sz val="9"/>
        <rFont val="Noto Sans CJK SC"/>
        <family val="2"/>
      </rPr>
      <t xml:space="preserve">，不在 </t>
    </r>
    <r>
      <rPr>
        <i val="true"/>
        <sz val="9"/>
        <rFont val="Arial"/>
        <family val="0"/>
        <charset val="1"/>
      </rPr>
      <t xml:space="preserve">v1 </t>
    </r>
    <r>
      <rPr>
        <i val="true"/>
        <sz val="9"/>
        <rFont val="Noto Sans CJK SC"/>
        <family val="2"/>
      </rPr>
      <t xml:space="preserve">上直接改。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</si>
</sst>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42"/>
    <col collapsed="false" customWidth="true" hidden="false" outlineLevel="0" max="7" min="7" style="0" width="48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12"/>
    <col collapsed="false" customWidth="true" hidden="false" outlineLevel="0" max="13" min="13" style="0" width="36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2.8" hidden="false" customHeight="false" outlineLevel="0" collapsed="false">
      <c r="A5" s="3" t="s">
        <v>3</v>
      </c>
      <c r="B5" s="3" t="s">
        <v>4</v>
      </c>
      <c r="C5" s="4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4" t="s">
        <v>10</v>
      </c>
      <c r="I5" s="4" t="s">
        <v>11</v>
      </c>
      <c r="J5" s="4" t="s">
        <v>12</v>
      </c>
      <c r="K5" s="3" t="s">
        <v>13</v>
      </c>
      <c r="L5" s="3" t="s">
        <v>14</v>
      </c>
      <c r="M5" s="3" t="s">
        <v>15</v>
      </c>
    </row>
    <row r="6" customFormat="false" ht="35.05" hidden="false" customHeight="false" outlineLevel="0" collapsed="false">
      <c r="A6" s="5" t="n">
        <v>1</v>
      </c>
      <c r="B6" s="6" t="s">
        <v>16</v>
      </c>
      <c r="C6" s="5" t="s">
        <v>17</v>
      </c>
      <c r="D6" s="6" t="s">
        <v>18</v>
      </c>
      <c r="E6" s="5" t="s">
        <v>19</v>
      </c>
      <c r="F6" s="6"/>
      <c r="G6" s="5" t="s">
        <v>20</v>
      </c>
      <c r="H6" s="5" t="s">
        <v>21</v>
      </c>
      <c r="I6" s="6" t="s">
        <v>22</v>
      </c>
      <c r="J6" s="6"/>
      <c r="K6" s="5" t="s">
        <v>23</v>
      </c>
      <c r="L6" s="7"/>
      <c r="M6" s="7"/>
    </row>
    <row r="7" customFormat="false" ht="29.85" hidden="false" customHeight="false" outlineLevel="0" collapsed="false">
      <c r="A7" s="6" t="n">
        <v>2</v>
      </c>
      <c r="B7" s="6" t="s">
        <v>16</v>
      </c>
      <c r="C7" s="5" t="s">
        <v>24</v>
      </c>
      <c r="D7" s="6" t="s">
        <v>18</v>
      </c>
      <c r="E7" s="5" t="s">
        <v>25</v>
      </c>
      <c r="F7" s="6"/>
      <c r="G7" s="5" t="s">
        <v>26</v>
      </c>
      <c r="H7" s="5" t="s">
        <v>21</v>
      </c>
      <c r="I7" s="6" t="s">
        <v>27</v>
      </c>
      <c r="J7" s="6"/>
      <c r="K7" s="5" t="s">
        <v>28</v>
      </c>
      <c r="L7" s="7"/>
      <c r="M7" s="7"/>
    </row>
    <row r="8" customFormat="false" ht="35.05" hidden="false" customHeight="false" outlineLevel="0" collapsed="false">
      <c r="A8" s="6" t="n">
        <v>3</v>
      </c>
      <c r="B8" s="6" t="s">
        <v>16</v>
      </c>
      <c r="C8" s="5" t="s">
        <v>29</v>
      </c>
      <c r="D8" s="6" t="s">
        <v>18</v>
      </c>
      <c r="E8" s="5" t="s">
        <v>19</v>
      </c>
      <c r="F8" s="6"/>
      <c r="G8" s="5" t="s">
        <v>30</v>
      </c>
      <c r="H8" s="5" t="s">
        <v>21</v>
      </c>
      <c r="I8" s="6" t="s">
        <v>31</v>
      </c>
      <c r="J8" s="6"/>
      <c r="K8" s="5" t="s">
        <v>32</v>
      </c>
      <c r="L8" s="7"/>
      <c r="M8" s="7"/>
    </row>
    <row r="9" customFormat="false" ht="35.05" hidden="false" customHeight="false" outlineLevel="0" collapsed="false">
      <c r="A9" s="6" t="n">
        <v>4</v>
      </c>
      <c r="B9" s="6" t="s">
        <v>16</v>
      </c>
      <c r="C9" s="5" t="s">
        <v>33</v>
      </c>
      <c r="D9" s="6" t="s">
        <v>18</v>
      </c>
      <c r="E9" s="5" t="s">
        <v>25</v>
      </c>
      <c r="F9" s="6"/>
      <c r="G9" s="5" t="s">
        <v>34</v>
      </c>
      <c r="H9" s="5" t="s">
        <v>21</v>
      </c>
      <c r="I9" s="6" t="s">
        <v>35</v>
      </c>
      <c r="J9" s="6"/>
      <c r="K9" s="5" t="s">
        <v>36</v>
      </c>
      <c r="L9" s="7"/>
      <c r="M9" s="7"/>
    </row>
    <row r="10" customFormat="false" ht="29.85" hidden="false" customHeight="false" outlineLevel="0" collapsed="false">
      <c r="A10" s="6" t="n">
        <v>5</v>
      </c>
      <c r="B10" s="6" t="s">
        <v>16</v>
      </c>
      <c r="C10" s="5" t="s">
        <v>37</v>
      </c>
      <c r="D10" s="6" t="s">
        <v>18</v>
      </c>
      <c r="E10" s="5" t="s">
        <v>19</v>
      </c>
      <c r="F10" s="6"/>
      <c r="G10" s="5" t="s">
        <v>38</v>
      </c>
      <c r="H10" s="5" t="s">
        <v>21</v>
      </c>
      <c r="I10" s="6" t="s">
        <v>39</v>
      </c>
      <c r="J10" s="6"/>
      <c r="K10" s="5" t="s">
        <v>40</v>
      </c>
      <c r="L10" s="7"/>
      <c r="M10" s="7"/>
    </row>
    <row r="11" customFormat="false" ht="29.85" hidden="false" customHeight="false" outlineLevel="0" collapsed="false">
      <c r="A11" s="6" t="n">
        <v>6</v>
      </c>
      <c r="B11" s="6" t="s">
        <v>16</v>
      </c>
      <c r="C11" s="5" t="s">
        <v>41</v>
      </c>
      <c r="D11" s="6" t="s">
        <v>18</v>
      </c>
      <c r="E11" s="5" t="s">
        <v>25</v>
      </c>
      <c r="F11" s="6"/>
      <c r="G11" s="5" t="s">
        <v>42</v>
      </c>
      <c r="H11" s="5" t="s">
        <v>21</v>
      </c>
      <c r="I11" s="6" t="s">
        <v>43</v>
      </c>
      <c r="J11" s="6"/>
      <c r="K11" s="5" t="s">
        <v>44</v>
      </c>
      <c r="L11" s="7"/>
      <c r="M11" s="7"/>
    </row>
    <row r="12" customFormat="false" ht="23.85" hidden="false" customHeight="false" outlineLevel="0" collapsed="false">
      <c r="A12" s="6" t="n">
        <v>7</v>
      </c>
      <c r="B12" s="6" t="s">
        <v>16</v>
      </c>
      <c r="C12" s="5" t="s">
        <v>45</v>
      </c>
      <c r="D12" s="6" t="s">
        <v>18</v>
      </c>
      <c r="E12" s="5" t="s">
        <v>19</v>
      </c>
      <c r="F12" s="6"/>
      <c r="G12" s="5" t="s">
        <v>46</v>
      </c>
      <c r="H12" s="5" t="s">
        <v>21</v>
      </c>
      <c r="I12" s="6" t="s">
        <v>47</v>
      </c>
      <c r="J12" s="6"/>
      <c r="K12" s="5" t="s">
        <v>48</v>
      </c>
      <c r="L12" s="7"/>
      <c r="M12" s="7"/>
    </row>
    <row r="13" customFormat="false" ht="29.85" hidden="false" customHeight="false" outlineLevel="0" collapsed="false">
      <c r="A13" s="6" t="n">
        <v>8</v>
      </c>
      <c r="B13" s="6" t="s">
        <v>16</v>
      </c>
      <c r="C13" s="5" t="s">
        <v>49</v>
      </c>
      <c r="D13" s="6" t="s">
        <v>18</v>
      </c>
      <c r="E13" s="5" t="s">
        <v>19</v>
      </c>
      <c r="F13" s="6"/>
      <c r="G13" s="5" t="s">
        <v>50</v>
      </c>
      <c r="H13" s="5" t="s">
        <v>21</v>
      </c>
      <c r="I13" s="6" t="s">
        <v>51</v>
      </c>
      <c r="J13" s="6"/>
      <c r="K13" s="5" t="s">
        <v>52</v>
      </c>
      <c r="L13" s="7"/>
      <c r="M13" s="7"/>
    </row>
    <row r="14" customFormat="false" ht="29.85" hidden="false" customHeight="false" outlineLevel="0" collapsed="false">
      <c r="A14" s="6" t="n">
        <v>9</v>
      </c>
      <c r="B14" s="6" t="s">
        <v>16</v>
      </c>
      <c r="C14" s="5" t="s">
        <v>53</v>
      </c>
      <c r="D14" s="6" t="s">
        <v>18</v>
      </c>
      <c r="E14" s="5" t="s">
        <v>25</v>
      </c>
      <c r="F14" s="6"/>
      <c r="G14" s="5" t="s">
        <v>54</v>
      </c>
      <c r="H14" s="5" t="s">
        <v>21</v>
      </c>
      <c r="I14" s="6" t="s">
        <v>55</v>
      </c>
      <c r="J14" s="6"/>
      <c r="K14" s="5" t="s">
        <v>56</v>
      </c>
      <c r="L14" s="7"/>
      <c r="M14" s="7"/>
    </row>
    <row r="15" customFormat="false" ht="29.85" hidden="false" customHeight="false" outlineLevel="0" collapsed="false">
      <c r="A15" s="6" t="n">
        <v>10</v>
      </c>
      <c r="B15" s="6" t="s">
        <v>16</v>
      </c>
      <c r="C15" s="5" t="s">
        <v>57</v>
      </c>
      <c r="D15" s="6" t="s">
        <v>18</v>
      </c>
      <c r="E15" s="5" t="s">
        <v>25</v>
      </c>
      <c r="F15" s="6"/>
      <c r="G15" s="5" t="s">
        <v>58</v>
      </c>
      <c r="H15" s="5" t="s">
        <v>21</v>
      </c>
      <c r="I15" s="6" t="s">
        <v>59</v>
      </c>
      <c r="J15" s="6"/>
      <c r="K15" s="5" t="s">
        <v>60</v>
      </c>
      <c r="L15" s="7"/>
      <c r="M15" s="7"/>
    </row>
    <row r="16" customFormat="false" ht="23.85" hidden="false" customHeight="false" outlineLevel="0" collapsed="false">
      <c r="A16" s="6" t="n">
        <v>11</v>
      </c>
      <c r="B16" s="6" t="s">
        <v>16</v>
      </c>
      <c r="C16" s="5" t="s">
        <v>61</v>
      </c>
      <c r="D16" s="6" t="s">
        <v>18</v>
      </c>
      <c r="E16" s="5" t="s">
        <v>25</v>
      </c>
      <c r="F16" s="6"/>
      <c r="G16" s="5" t="s">
        <v>62</v>
      </c>
      <c r="H16" s="5" t="s">
        <v>21</v>
      </c>
      <c r="I16" s="6" t="s">
        <v>63</v>
      </c>
      <c r="J16" s="6"/>
      <c r="K16" s="6"/>
      <c r="L16" s="7"/>
      <c r="M16" s="7"/>
    </row>
    <row r="17" customFormat="false" ht="15" hidden="false" customHeight="false" outlineLevel="0" collapsed="false">
      <c r="A17" s="6" t="n">
        <v>12</v>
      </c>
      <c r="B17" s="6" t="s">
        <v>16</v>
      </c>
      <c r="C17" s="5" t="s">
        <v>64</v>
      </c>
      <c r="D17" s="6" t="s">
        <v>18</v>
      </c>
      <c r="E17" s="5" t="s">
        <v>25</v>
      </c>
      <c r="F17" s="6"/>
      <c r="G17" s="5" t="s">
        <v>65</v>
      </c>
      <c r="H17" s="5" t="s">
        <v>21</v>
      </c>
      <c r="I17" s="6" t="s">
        <v>66</v>
      </c>
      <c r="J17" s="6"/>
      <c r="K17" s="5" t="s">
        <v>67</v>
      </c>
      <c r="L17" s="7"/>
      <c r="M17" s="7"/>
    </row>
    <row r="18" customFormat="false" ht="29.85" hidden="false" customHeight="false" outlineLevel="0" collapsed="false">
      <c r="A18" s="6" t="n">
        <v>13</v>
      </c>
      <c r="B18" s="6" t="s">
        <v>16</v>
      </c>
      <c r="C18" s="5" t="s">
        <v>68</v>
      </c>
      <c r="D18" s="6" t="s">
        <v>18</v>
      </c>
      <c r="E18" s="5" t="s">
        <v>25</v>
      </c>
      <c r="F18" s="6"/>
      <c r="G18" s="5" t="s">
        <v>69</v>
      </c>
      <c r="H18" s="5" t="s">
        <v>21</v>
      </c>
      <c r="I18" s="6" t="s">
        <v>70</v>
      </c>
      <c r="J18" s="6"/>
      <c r="K18" s="5" t="s">
        <v>71</v>
      </c>
      <c r="L18" s="7"/>
      <c r="M18" s="7"/>
    </row>
    <row r="19" customFormat="false" ht="15" hidden="false" customHeight="false" outlineLevel="0" collapsed="false">
      <c r="A19" s="6" t="n">
        <v>14</v>
      </c>
      <c r="B19" s="6" t="s">
        <v>16</v>
      </c>
      <c r="C19" s="5" t="s">
        <v>72</v>
      </c>
      <c r="D19" s="6" t="s">
        <v>18</v>
      </c>
      <c r="E19" s="5" t="s">
        <v>19</v>
      </c>
      <c r="F19" s="6"/>
      <c r="G19" s="5" t="s">
        <v>73</v>
      </c>
      <c r="H19" s="5" t="s">
        <v>21</v>
      </c>
      <c r="I19" s="6" t="s">
        <v>74</v>
      </c>
      <c r="J19" s="6"/>
      <c r="K19" s="5" t="s">
        <v>75</v>
      </c>
      <c r="L19" s="7"/>
      <c r="M19" s="7"/>
    </row>
    <row r="20" customFormat="false" ht="29.85" hidden="false" customHeight="false" outlineLevel="0" collapsed="false">
      <c r="A20" s="6" t="n">
        <v>15</v>
      </c>
      <c r="B20" s="6" t="s">
        <v>16</v>
      </c>
      <c r="C20" s="5" t="s">
        <v>76</v>
      </c>
      <c r="D20" s="6" t="s">
        <v>18</v>
      </c>
      <c r="E20" s="5" t="s">
        <v>19</v>
      </c>
      <c r="F20" s="6"/>
      <c r="G20" s="5" t="s">
        <v>77</v>
      </c>
      <c r="H20" s="5" t="s">
        <v>21</v>
      </c>
      <c r="I20" s="6" t="s">
        <v>78</v>
      </c>
      <c r="J20" s="6"/>
      <c r="K20" s="5" t="s">
        <v>79</v>
      </c>
      <c r="L20" s="7"/>
      <c r="M20" s="7"/>
    </row>
    <row r="21" customFormat="false" ht="23.85" hidden="false" customHeight="false" outlineLevel="0" collapsed="false">
      <c r="A21" s="6" t="n">
        <v>16</v>
      </c>
      <c r="B21" s="6" t="s">
        <v>16</v>
      </c>
      <c r="C21" s="5" t="s">
        <v>80</v>
      </c>
      <c r="D21" s="6" t="s">
        <v>18</v>
      </c>
      <c r="E21" s="5" t="s">
        <v>25</v>
      </c>
      <c r="F21" s="6"/>
      <c r="G21" s="5" t="s">
        <v>81</v>
      </c>
      <c r="H21" s="5" t="s">
        <v>21</v>
      </c>
      <c r="I21" s="6" t="s">
        <v>82</v>
      </c>
      <c r="J21" s="6"/>
      <c r="K21" s="5" t="s">
        <v>60</v>
      </c>
      <c r="L21" s="7"/>
      <c r="M21" s="7"/>
    </row>
    <row r="22" customFormat="false" ht="23.85" hidden="false" customHeight="false" outlineLevel="0" collapsed="false">
      <c r="A22" s="6" t="n">
        <v>17</v>
      </c>
      <c r="B22" s="6" t="s">
        <v>16</v>
      </c>
      <c r="C22" s="5" t="s">
        <v>83</v>
      </c>
      <c r="D22" s="6" t="s">
        <v>18</v>
      </c>
      <c r="E22" s="5" t="s">
        <v>25</v>
      </c>
      <c r="F22" s="6"/>
      <c r="G22" s="5" t="s">
        <v>84</v>
      </c>
      <c r="H22" s="5" t="s">
        <v>21</v>
      </c>
      <c r="I22" s="6" t="s">
        <v>85</v>
      </c>
      <c r="J22" s="6"/>
      <c r="K22" s="5" t="s">
        <v>86</v>
      </c>
      <c r="L22" s="7"/>
      <c r="M22" s="7"/>
    </row>
    <row r="23" customFormat="false" ht="15" hidden="false" customHeight="false" outlineLevel="0" collapsed="false">
      <c r="A23" s="6" t="n">
        <v>18</v>
      </c>
      <c r="B23" s="6" t="s">
        <v>16</v>
      </c>
      <c r="C23" s="5" t="s">
        <v>87</v>
      </c>
      <c r="D23" s="6" t="s">
        <v>18</v>
      </c>
      <c r="E23" s="5" t="s">
        <v>25</v>
      </c>
      <c r="F23" s="6"/>
      <c r="G23" s="5" t="s">
        <v>88</v>
      </c>
      <c r="H23" s="5" t="s">
        <v>21</v>
      </c>
      <c r="I23" s="6" t="s">
        <v>89</v>
      </c>
      <c r="J23" s="6"/>
      <c r="K23" s="5" t="s">
        <v>90</v>
      </c>
      <c r="L23" s="7"/>
      <c r="M23" s="7"/>
    </row>
    <row r="24" customFormat="false" ht="15" hidden="false" customHeight="false" outlineLevel="0" collapsed="false">
      <c r="A24" s="6" t="n">
        <v>19</v>
      </c>
      <c r="B24" s="6" t="s">
        <v>16</v>
      </c>
      <c r="C24" s="5" t="s">
        <v>91</v>
      </c>
      <c r="D24" s="6" t="s">
        <v>18</v>
      </c>
      <c r="E24" s="5" t="s">
        <v>19</v>
      </c>
      <c r="F24" s="6"/>
      <c r="G24" s="5" t="s">
        <v>92</v>
      </c>
      <c r="H24" s="5" t="s">
        <v>21</v>
      </c>
      <c r="I24" s="6" t="s">
        <v>93</v>
      </c>
      <c r="J24" s="6"/>
      <c r="K24" s="6"/>
      <c r="L24" s="7"/>
      <c r="M24" s="7"/>
    </row>
    <row r="25" customFormat="false" ht="23.85" hidden="false" customHeight="false" outlineLevel="0" collapsed="false">
      <c r="A25" s="6" t="n">
        <v>20</v>
      </c>
      <c r="B25" s="6" t="s">
        <v>16</v>
      </c>
      <c r="C25" s="5" t="s">
        <v>94</v>
      </c>
      <c r="D25" s="6" t="s">
        <v>18</v>
      </c>
      <c r="E25" s="5" t="s">
        <v>19</v>
      </c>
      <c r="F25" s="6"/>
      <c r="G25" s="5" t="s">
        <v>95</v>
      </c>
      <c r="H25" s="5" t="s">
        <v>21</v>
      </c>
      <c r="I25" s="6" t="s">
        <v>96</v>
      </c>
      <c r="J25" s="6"/>
      <c r="K25" s="5" t="s">
        <v>97</v>
      </c>
      <c r="L25" s="7"/>
      <c r="M25" s="7"/>
    </row>
    <row r="26" customFormat="false" ht="26.85" hidden="false" customHeight="false" outlineLevel="0" collapsed="false">
      <c r="A26" s="6" t="n">
        <v>21</v>
      </c>
      <c r="B26" s="6" t="s">
        <v>16</v>
      </c>
      <c r="C26" s="5" t="s">
        <v>98</v>
      </c>
      <c r="D26" s="6" t="s">
        <v>18</v>
      </c>
      <c r="E26" s="5" t="s">
        <v>25</v>
      </c>
      <c r="F26" s="6"/>
      <c r="G26" s="5" t="s">
        <v>99</v>
      </c>
      <c r="H26" s="5" t="s">
        <v>21</v>
      </c>
      <c r="I26" s="6" t="s">
        <v>100</v>
      </c>
      <c r="J26" s="6"/>
      <c r="K26" s="5" t="s">
        <v>101</v>
      </c>
      <c r="L26" s="7"/>
      <c r="M26" s="7"/>
    </row>
    <row r="27" customFormat="false" ht="29.85" hidden="false" customHeight="false" outlineLevel="0" collapsed="false">
      <c r="A27" s="6" t="n">
        <v>22</v>
      </c>
      <c r="B27" s="6" t="s">
        <v>16</v>
      </c>
      <c r="C27" s="5" t="s">
        <v>102</v>
      </c>
      <c r="D27" s="6" t="s">
        <v>18</v>
      </c>
      <c r="E27" s="5" t="s">
        <v>19</v>
      </c>
      <c r="F27" s="6"/>
      <c r="G27" s="5" t="s">
        <v>103</v>
      </c>
      <c r="H27" s="5" t="s">
        <v>21</v>
      </c>
      <c r="I27" s="6" t="s">
        <v>104</v>
      </c>
      <c r="J27" s="6"/>
      <c r="K27" s="5" t="s">
        <v>105</v>
      </c>
      <c r="L27" s="7"/>
      <c r="M27" s="7"/>
    </row>
    <row r="28" customFormat="false" ht="23.85" hidden="false" customHeight="false" outlineLevel="0" collapsed="false">
      <c r="A28" s="6" t="n">
        <v>23</v>
      </c>
      <c r="B28" s="6" t="s">
        <v>16</v>
      </c>
      <c r="C28" s="5" t="s">
        <v>106</v>
      </c>
      <c r="D28" s="6" t="s">
        <v>18</v>
      </c>
      <c r="E28" s="5" t="s">
        <v>19</v>
      </c>
      <c r="F28" s="6"/>
      <c r="G28" s="5" t="s">
        <v>107</v>
      </c>
      <c r="H28" s="5" t="s">
        <v>21</v>
      </c>
      <c r="I28" s="6" t="s">
        <v>108</v>
      </c>
      <c r="J28" s="6"/>
      <c r="K28" s="5" t="s">
        <v>109</v>
      </c>
      <c r="L28" s="7"/>
      <c r="M28" s="7"/>
    </row>
    <row r="29" customFormat="false" ht="15" hidden="false" customHeight="false" outlineLevel="0" collapsed="false">
      <c r="A29" s="6" t="n">
        <v>24</v>
      </c>
      <c r="B29" s="6" t="s">
        <v>16</v>
      </c>
      <c r="C29" s="5" t="s">
        <v>110</v>
      </c>
      <c r="D29" s="6" t="s">
        <v>18</v>
      </c>
      <c r="E29" s="5" t="s">
        <v>25</v>
      </c>
      <c r="F29" s="6"/>
      <c r="G29" s="5" t="s">
        <v>111</v>
      </c>
      <c r="H29" s="5" t="s">
        <v>21</v>
      </c>
      <c r="I29" s="6" t="s">
        <v>112</v>
      </c>
      <c r="J29" s="6"/>
      <c r="K29" s="5" t="s">
        <v>113</v>
      </c>
      <c r="L29" s="7"/>
      <c r="M29" s="7"/>
    </row>
    <row r="30" customFormat="false" ht="15" hidden="false" customHeight="false" outlineLevel="0" collapsed="false">
      <c r="A30" s="6" t="n">
        <v>25</v>
      </c>
      <c r="B30" s="6" t="s">
        <v>16</v>
      </c>
      <c r="C30" s="5" t="s">
        <v>114</v>
      </c>
      <c r="D30" s="6" t="s">
        <v>18</v>
      </c>
      <c r="E30" s="5" t="s">
        <v>25</v>
      </c>
      <c r="F30" s="6"/>
      <c r="G30" s="5" t="s">
        <v>115</v>
      </c>
      <c r="H30" s="5" t="s">
        <v>21</v>
      </c>
      <c r="I30" s="6" t="s">
        <v>116</v>
      </c>
      <c r="J30" s="6"/>
      <c r="K30" s="6"/>
      <c r="L30" s="7"/>
      <c r="M30" s="7"/>
    </row>
    <row r="31" customFormat="false" ht="29.85" hidden="false" customHeight="false" outlineLevel="0" collapsed="false">
      <c r="A31" s="6" t="n">
        <v>26</v>
      </c>
      <c r="B31" s="6" t="s">
        <v>16</v>
      </c>
      <c r="C31" s="5" t="s">
        <v>117</v>
      </c>
      <c r="D31" s="6" t="s">
        <v>18</v>
      </c>
      <c r="E31" s="5" t="s">
        <v>19</v>
      </c>
      <c r="F31" s="6"/>
      <c r="G31" s="5" t="s">
        <v>118</v>
      </c>
      <c r="H31" s="5" t="s">
        <v>21</v>
      </c>
      <c r="I31" s="6" t="s">
        <v>119</v>
      </c>
      <c r="J31" s="6"/>
      <c r="K31" s="5" t="s">
        <v>120</v>
      </c>
      <c r="L31" s="7"/>
      <c r="M31" s="7"/>
    </row>
    <row r="32" customFormat="false" ht="29.85" hidden="false" customHeight="false" outlineLevel="0" collapsed="false">
      <c r="A32" s="6" t="n">
        <v>27</v>
      </c>
      <c r="B32" s="6" t="s">
        <v>16</v>
      </c>
      <c r="C32" s="5" t="s">
        <v>121</v>
      </c>
      <c r="D32" s="6" t="s">
        <v>18</v>
      </c>
      <c r="E32" s="5" t="s">
        <v>25</v>
      </c>
      <c r="F32" s="6"/>
      <c r="G32" s="5" t="s">
        <v>122</v>
      </c>
      <c r="H32" s="5" t="s">
        <v>21</v>
      </c>
      <c r="I32" s="6" t="s">
        <v>123</v>
      </c>
      <c r="J32" s="6"/>
      <c r="K32" s="5" t="s">
        <v>124</v>
      </c>
      <c r="L32" s="7"/>
      <c r="M32" s="7"/>
    </row>
    <row r="33" customFormat="false" ht="23.85" hidden="false" customHeight="false" outlineLevel="0" collapsed="false">
      <c r="A33" s="6" t="n">
        <v>28</v>
      </c>
      <c r="B33" s="6" t="s">
        <v>16</v>
      </c>
      <c r="C33" s="5" t="s">
        <v>125</v>
      </c>
      <c r="D33" s="6" t="s">
        <v>18</v>
      </c>
      <c r="E33" s="5" t="s">
        <v>19</v>
      </c>
      <c r="F33" s="6"/>
      <c r="G33" s="5" t="s">
        <v>126</v>
      </c>
      <c r="H33" s="5" t="s">
        <v>21</v>
      </c>
      <c r="I33" s="6" t="s">
        <v>127</v>
      </c>
      <c r="J33" s="6"/>
      <c r="K33" s="5" t="s">
        <v>128</v>
      </c>
      <c r="L33" s="7"/>
      <c r="M33" s="7"/>
    </row>
    <row r="34" customFormat="false" ht="15" hidden="false" customHeight="false" outlineLevel="0" collapsed="false">
      <c r="A34" s="6" t="n">
        <v>29</v>
      </c>
      <c r="B34" s="6" t="s">
        <v>16</v>
      </c>
      <c r="C34" s="5" t="s">
        <v>129</v>
      </c>
      <c r="D34" s="6" t="s">
        <v>18</v>
      </c>
      <c r="E34" s="5" t="s">
        <v>25</v>
      </c>
      <c r="F34" s="6"/>
      <c r="G34" s="5" t="s">
        <v>130</v>
      </c>
      <c r="H34" s="5" t="s">
        <v>21</v>
      </c>
      <c r="I34" s="6" t="s">
        <v>131</v>
      </c>
      <c r="J34" s="6"/>
      <c r="K34" s="5" t="s">
        <v>75</v>
      </c>
      <c r="L34" s="7"/>
      <c r="M34" s="7"/>
    </row>
    <row r="35" customFormat="false" ht="35.05" hidden="false" customHeight="false" outlineLevel="0" collapsed="false">
      <c r="A35" s="6" t="n">
        <v>30</v>
      </c>
      <c r="B35" s="6" t="s">
        <v>16</v>
      </c>
      <c r="C35" s="5" t="s">
        <v>132</v>
      </c>
      <c r="D35" s="6" t="s">
        <v>18</v>
      </c>
      <c r="E35" s="5" t="s">
        <v>19</v>
      </c>
      <c r="F35" s="6"/>
      <c r="G35" s="5" t="s">
        <v>133</v>
      </c>
      <c r="H35" s="5" t="s">
        <v>21</v>
      </c>
      <c r="I35" s="6" t="s">
        <v>134</v>
      </c>
      <c r="J35" s="6"/>
      <c r="K35" s="5" t="s">
        <v>135</v>
      </c>
      <c r="L35" s="7"/>
      <c r="M35" s="7"/>
    </row>
    <row r="36" customFormat="false" ht="15" hidden="false" customHeight="false" outlineLevel="0" collapsed="false">
      <c r="A36" s="6" t="n">
        <v>31</v>
      </c>
      <c r="B36" s="6" t="s">
        <v>16</v>
      </c>
      <c r="C36" s="5" t="s">
        <v>136</v>
      </c>
      <c r="D36" s="6" t="s">
        <v>18</v>
      </c>
      <c r="E36" s="5" t="s">
        <v>25</v>
      </c>
      <c r="F36" s="6"/>
      <c r="G36" s="5" t="s">
        <v>137</v>
      </c>
      <c r="H36" s="5" t="s">
        <v>21</v>
      </c>
      <c r="I36" s="6" t="s">
        <v>138</v>
      </c>
      <c r="J36" s="6"/>
      <c r="K36" s="5" t="s">
        <v>101</v>
      </c>
      <c r="L36" s="7"/>
      <c r="M36" s="7"/>
    </row>
    <row r="37" customFormat="false" ht="29.85" hidden="false" customHeight="false" outlineLevel="0" collapsed="false">
      <c r="A37" s="6" t="n">
        <v>32</v>
      </c>
      <c r="B37" s="6" t="s">
        <v>16</v>
      </c>
      <c r="C37" s="5" t="s">
        <v>139</v>
      </c>
      <c r="D37" s="6" t="s">
        <v>18</v>
      </c>
      <c r="E37" s="5" t="s">
        <v>19</v>
      </c>
      <c r="F37" s="6"/>
      <c r="G37" s="5" t="s">
        <v>140</v>
      </c>
      <c r="H37" s="5" t="s">
        <v>21</v>
      </c>
      <c r="I37" s="6" t="s">
        <v>141</v>
      </c>
      <c r="J37" s="6"/>
      <c r="K37" s="5" t="s">
        <v>71</v>
      </c>
      <c r="L37" s="7"/>
      <c r="M37" s="7"/>
    </row>
    <row r="38" customFormat="false" ht="15" hidden="false" customHeight="false" outlineLevel="0" collapsed="false">
      <c r="A38" s="6" t="n">
        <v>33</v>
      </c>
      <c r="B38" s="6" t="s">
        <v>16</v>
      </c>
      <c r="C38" s="5" t="s">
        <v>142</v>
      </c>
      <c r="D38" s="6" t="s">
        <v>18</v>
      </c>
      <c r="E38" s="5" t="s">
        <v>19</v>
      </c>
      <c r="F38" s="6"/>
      <c r="G38" s="5" t="s">
        <v>143</v>
      </c>
      <c r="H38" s="5" t="s">
        <v>21</v>
      </c>
      <c r="I38" s="6" t="s">
        <v>144</v>
      </c>
      <c r="J38" s="6"/>
      <c r="K38" s="5" t="s">
        <v>145</v>
      </c>
      <c r="L38" s="7"/>
      <c r="M38" s="7"/>
    </row>
    <row r="39" customFormat="false" ht="35.05" hidden="false" customHeight="false" outlineLevel="0" collapsed="false">
      <c r="A39" s="6" t="n">
        <v>34</v>
      </c>
      <c r="B39" s="6" t="s">
        <v>16</v>
      </c>
      <c r="C39" s="5" t="s">
        <v>146</v>
      </c>
      <c r="D39" s="6" t="s">
        <v>147</v>
      </c>
      <c r="E39" s="5" t="s">
        <v>19</v>
      </c>
      <c r="F39" s="6"/>
      <c r="G39" s="5" t="s">
        <v>148</v>
      </c>
      <c r="H39" s="5" t="s">
        <v>21</v>
      </c>
      <c r="I39" s="6" t="s">
        <v>149</v>
      </c>
      <c r="J39" s="5" t="s">
        <v>150</v>
      </c>
      <c r="K39" s="5" t="s">
        <v>151</v>
      </c>
      <c r="L39" s="7"/>
      <c r="M39" s="7"/>
    </row>
    <row r="40" customFormat="false" ht="23.85" hidden="false" customHeight="false" outlineLevel="0" collapsed="false">
      <c r="A40" s="6" t="n">
        <v>35</v>
      </c>
      <c r="B40" s="6" t="s">
        <v>16</v>
      </c>
      <c r="C40" s="5" t="s">
        <v>152</v>
      </c>
      <c r="D40" s="6" t="s">
        <v>147</v>
      </c>
      <c r="E40" s="5" t="s">
        <v>19</v>
      </c>
      <c r="F40" s="6"/>
      <c r="G40" s="5" t="s">
        <v>153</v>
      </c>
      <c r="H40" s="5" t="s">
        <v>21</v>
      </c>
      <c r="I40" s="6" t="s">
        <v>154</v>
      </c>
      <c r="J40" s="5" t="s">
        <v>155</v>
      </c>
      <c r="K40" s="5" t="s">
        <v>156</v>
      </c>
      <c r="L40" s="7"/>
      <c r="M40" s="7"/>
    </row>
    <row r="41" customFormat="false" ht="23.85" hidden="false" customHeight="false" outlineLevel="0" collapsed="false">
      <c r="A41" s="6" t="n">
        <v>36</v>
      </c>
      <c r="B41" s="6" t="s">
        <v>16</v>
      </c>
      <c r="C41" s="5" t="s">
        <v>157</v>
      </c>
      <c r="D41" s="6" t="s">
        <v>147</v>
      </c>
      <c r="E41" s="5" t="s">
        <v>25</v>
      </c>
      <c r="F41" s="6"/>
      <c r="G41" s="5" t="s">
        <v>158</v>
      </c>
      <c r="H41" s="5" t="s">
        <v>21</v>
      </c>
      <c r="I41" s="6" t="s">
        <v>159</v>
      </c>
      <c r="J41" s="5" t="s">
        <v>160</v>
      </c>
      <c r="K41" s="5" t="s">
        <v>161</v>
      </c>
      <c r="L41" s="7"/>
      <c r="M41" s="7"/>
    </row>
    <row r="42" customFormat="false" ht="23.85" hidden="false" customHeight="false" outlineLevel="0" collapsed="false">
      <c r="A42" s="6" t="n">
        <v>37</v>
      </c>
      <c r="B42" s="6" t="s">
        <v>16</v>
      </c>
      <c r="C42" s="5" t="s">
        <v>162</v>
      </c>
      <c r="D42" s="6" t="s">
        <v>147</v>
      </c>
      <c r="E42" s="5" t="s">
        <v>19</v>
      </c>
      <c r="F42" s="6"/>
      <c r="G42" s="5" t="s">
        <v>163</v>
      </c>
      <c r="H42" s="5" t="s">
        <v>21</v>
      </c>
      <c r="I42" s="6" t="s">
        <v>164</v>
      </c>
      <c r="J42" s="5" t="s">
        <v>165</v>
      </c>
      <c r="K42" s="5" t="s">
        <v>101</v>
      </c>
      <c r="L42" s="7"/>
      <c r="M42" s="7"/>
    </row>
    <row r="43" customFormat="false" ht="35.05" hidden="false" customHeight="false" outlineLevel="0" collapsed="false">
      <c r="A43" s="6" t="n">
        <v>38</v>
      </c>
      <c r="B43" s="6" t="s">
        <v>16</v>
      </c>
      <c r="C43" s="5" t="s">
        <v>166</v>
      </c>
      <c r="D43" s="6" t="s">
        <v>147</v>
      </c>
      <c r="E43" s="5" t="s">
        <v>19</v>
      </c>
      <c r="F43" s="6"/>
      <c r="G43" s="5" t="s">
        <v>167</v>
      </c>
      <c r="H43" s="5" t="s">
        <v>21</v>
      </c>
      <c r="I43" s="6" t="s">
        <v>168</v>
      </c>
      <c r="J43" s="5" t="s">
        <v>169</v>
      </c>
      <c r="K43" s="5" t="s">
        <v>151</v>
      </c>
      <c r="L43" s="7"/>
      <c r="M43" s="7"/>
    </row>
    <row r="44" customFormat="false" ht="35.05" hidden="false" customHeight="false" outlineLevel="0" collapsed="false">
      <c r="A44" s="6" t="n">
        <v>39</v>
      </c>
      <c r="B44" s="6" t="s">
        <v>16</v>
      </c>
      <c r="C44" s="5" t="s">
        <v>170</v>
      </c>
      <c r="D44" s="6" t="s">
        <v>147</v>
      </c>
      <c r="E44" s="5" t="s">
        <v>19</v>
      </c>
      <c r="F44" s="6"/>
      <c r="G44" s="5" t="s">
        <v>171</v>
      </c>
      <c r="H44" s="5" t="s">
        <v>21</v>
      </c>
      <c r="I44" s="6" t="s">
        <v>172</v>
      </c>
      <c r="J44" s="5" t="s">
        <v>173</v>
      </c>
      <c r="K44" s="5" t="s">
        <v>174</v>
      </c>
      <c r="L44" s="7"/>
      <c r="M44" s="7"/>
    </row>
    <row r="45" customFormat="false" ht="23.85" hidden="false" customHeight="false" outlineLevel="0" collapsed="false">
      <c r="A45" s="6" t="n">
        <v>40</v>
      </c>
      <c r="B45" s="6" t="s">
        <v>16</v>
      </c>
      <c r="C45" s="5" t="s">
        <v>175</v>
      </c>
      <c r="D45" s="6" t="s">
        <v>147</v>
      </c>
      <c r="E45" s="5" t="s">
        <v>25</v>
      </c>
      <c r="F45" s="6"/>
      <c r="G45" s="5" t="s">
        <v>176</v>
      </c>
      <c r="H45" s="5" t="s">
        <v>21</v>
      </c>
      <c r="I45" s="6" t="s">
        <v>177</v>
      </c>
      <c r="J45" s="5" t="s">
        <v>178</v>
      </c>
      <c r="K45" s="5" t="s">
        <v>86</v>
      </c>
      <c r="L45" s="7"/>
      <c r="M45" s="7"/>
    </row>
    <row r="46" customFormat="false" ht="26.85" hidden="false" customHeight="false" outlineLevel="0" collapsed="false">
      <c r="A46" s="6" t="n">
        <v>41</v>
      </c>
      <c r="B46" s="6" t="s">
        <v>16</v>
      </c>
      <c r="C46" s="5" t="s">
        <v>179</v>
      </c>
      <c r="D46" s="6" t="s">
        <v>147</v>
      </c>
      <c r="E46" s="5" t="s">
        <v>19</v>
      </c>
      <c r="F46" s="6"/>
      <c r="G46" s="5" t="s">
        <v>180</v>
      </c>
      <c r="H46" s="5" t="s">
        <v>21</v>
      </c>
      <c r="I46" s="6" t="s">
        <v>181</v>
      </c>
      <c r="J46" s="5" t="s">
        <v>182</v>
      </c>
      <c r="K46" s="5" t="s">
        <v>183</v>
      </c>
      <c r="L46" s="7"/>
      <c r="M46" s="7"/>
    </row>
    <row r="47" customFormat="false" ht="29.85" hidden="false" customHeight="false" outlineLevel="0" collapsed="false">
      <c r="A47" s="6" t="n">
        <v>42</v>
      </c>
      <c r="B47" s="6" t="s">
        <v>16</v>
      </c>
      <c r="C47" s="5" t="s">
        <v>184</v>
      </c>
      <c r="D47" s="6" t="s">
        <v>147</v>
      </c>
      <c r="E47" s="5" t="s">
        <v>25</v>
      </c>
      <c r="F47" s="6"/>
      <c r="G47" s="5" t="s">
        <v>185</v>
      </c>
      <c r="H47" s="5" t="s">
        <v>21</v>
      </c>
      <c r="I47" s="6" t="s">
        <v>186</v>
      </c>
      <c r="J47" s="5" t="s">
        <v>187</v>
      </c>
      <c r="K47" s="5" t="s">
        <v>188</v>
      </c>
      <c r="L47" s="7"/>
      <c r="M47" s="7"/>
    </row>
    <row r="48" customFormat="false" ht="23.85" hidden="false" customHeight="false" outlineLevel="0" collapsed="false">
      <c r="A48" s="6" t="n">
        <v>43</v>
      </c>
      <c r="B48" s="6" t="s">
        <v>16</v>
      </c>
      <c r="C48" s="5" t="s">
        <v>189</v>
      </c>
      <c r="D48" s="6" t="s">
        <v>147</v>
      </c>
      <c r="E48" s="5" t="s">
        <v>19</v>
      </c>
      <c r="F48" s="6"/>
      <c r="G48" s="5" t="s">
        <v>190</v>
      </c>
      <c r="H48" s="5" t="s">
        <v>21</v>
      </c>
      <c r="I48" s="6" t="s">
        <v>191</v>
      </c>
      <c r="J48" s="5" t="s">
        <v>192</v>
      </c>
      <c r="K48" s="5" t="s">
        <v>109</v>
      </c>
      <c r="L48" s="7"/>
      <c r="M48" s="7"/>
    </row>
    <row r="49" customFormat="false" ht="23.85" hidden="false" customHeight="false" outlineLevel="0" collapsed="false">
      <c r="A49" s="6" t="n">
        <v>44</v>
      </c>
      <c r="B49" s="6" t="s">
        <v>16</v>
      </c>
      <c r="C49" s="5" t="s">
        <v>193</v>
      </c>
      <c r="D49" s="6" t="s">
        <v>147</v>
      </c>
      <c r="E49" s="5" t="s">
        <v>19</v>
      </c>
      <c r="F49" s="6"/>
      <c r="G49" s="5" t="s">
        <v>194</v>
      </c>
      <c r="H49" s="5" t="s">
        <v>21</v>
      </c>
      <c r="I49" s="6" t="s">
        <v>195</v>
      </c>
      <c r="J49" s="5" t="s">
        <v>196</v>
      </c>
      <c r="K49" s="5" t="s">
        <v>156</v>
      </c>
      <c r="L49" s="7"/>
      <c r="M49" s="7"/>
    </row>
    <row r="50" customFormat="false" ht="35.05" hidden="false" customHeight="false" outlineLevel="0" collapsed="false">
      <c r="A50" s="6" t="n">
        <v>45</v>
      </c>
      <c r="B50" s="6" t="s">
        <v>16</v>
      </c>
      <c r="C50" s="5" t="s">
        <v>197</v>
      </c>
      <c r="D50" s="6" t="s">
        <v>147</v>
      </c>
      <c r="E50" s="5" t="s">
        <v>19</v>
      </c>
      <c r="F50" s="6"/>
      <c r="G50" s="5" t="s">
        <v>198</v>
      </c>
      <c r="H50" s="5" t="s">
        <v>21</v>
      </c>
      <c r="I50" s="6" t="s">
        <v>199</v>
      </c>
      <c r="J50" s="5" t="s">
        <v>200</v>
      </c>
      <c r="K50" s="5" t="s">
        <v>201</v>
      </c>
      <c r="L50" s="7"/>
      <c r="M50" s="7"/>
    </row>
    <row r="51" customFormat="false" ht="35.05" hidden="false" customHeight="false" outlineLevel="0" collapsed="false">
      <c r="A51" s="6" t="n">
        <v>46</v>
      </c>
      <c r="B51" s="6" t="s">
        <v>202</v>
      </c>
      <c r="C51" s="5" t="s">
        <v>203</v>
      </c>
      <c r="D51" s="6" t="s">
        <v>18</v>
      </c>
      <c r="E51" s="5" t="s">
        <v>25</v>
      </c>
      <c r="F51" s="6"/>
      <c r="G51" s="5" t="s">
        <v>204</v>
      </c>
      <c r="H51" s="5" t="s">
        <v>21</v>
      </c>
      <c r="I51" s="6" t="s">
        <v>205</v>
      </c>
      <c r="J51" s="6"/>
      <c r="K51" s="5" t="s">
        <v>206</v>
      </c>
      <c r="L51" s="7"/>
      <c r="M51" s="7"/>
    </row>
    <row r="52" customFormat="false" ht="35.05" hidden="false" customHeight="false" outlineLevel="0" collapsed="false">
      <c r="A52" s="6" t="n">
        <v>47</v>
      </c>
      <c r="B52" s="6" t="s">
        <v>202</v>
      </c>
      <c r="C52" s="5" t="s">
        <v>207</v>
      </c>
      <c r="D52" s="6" t="s">
        <v>18</v>
      </c>
      <c r="E52" s="5" t="s">
        <v>19</v>
      </c>
      <c r="F52" s="6"/>
      <c r="G52" s="5" t="s">
        <v>208</v>
      </c>
      <c r="H52" s="5" t="s">
        <v>21</v>
      </c>
      <c r="I52" s="6" t="s">
        <v>209</v>
      </c>
      <c r="J52" s="6"/>
      <c r="K52" s="5" t="s">
        <v>60</v>
      </c>
      <c r="L52" s="7"/>
      <c r="M52" s="7"/>
    </row>
    <row r="53" customFormat="false" ht="15" hidden="false" customHeight="false" outlineLevel="0" collapsed="false">
      <c r="A53" s="6" t="n">
        <v>48</v>
      </c>
      <c r="B53" s="6" t="s">
        <v>202</v>
      </c>
      <c r="C53" s="5" t="s">
        <v>210</v>
      </c>
      <c r="D53" s="6" t="s">
        <v>18</v>
      </c>
      <c r="E53" s="5" t="s">
        <v>19</v>
      </c>
      <c r="F53" s="6"/>
      <c r="G53" s="5" t="s">
        <v>211</v>
      </c>
      <c r="H53" s="5" t="s">
        <v>21</v>
      </c>
      <c r="I53" s="6" t="s">
        <v>212</v>
      </c>
      <c r="J53" s="6"/>
      <c r="K53" s="5" t="s">
        <v>101</v>
      </c>
      <c r="L53" s="7"/>
      <c r="M53" s="7"/>
    </row>
    <row r="54" customFormat="false" ht="26.85" hidden="false" customHeight="false" outlineLevel="0" collapsed="false">
      <c r="A54" s="6" t="n">
        <v>49</v>
      </c>
      <c r="B54" s="6" t="s">
        <v>202</v>
      </c>
      <c r="C54" s="5" t="s">
        <v>213</v>
      </c>
      <c r="D54" s="6" t="s">
        <v>18</v>
      </c>
      <c r="E54" s="5" t="s">
        <v>19</v>
      </c>
      <c r="F54" s="6"/>
      <c r="G54" s="5" t="s">
        <v>214</v>
      </c>
      <c r="H54" s="5" t="s">
        <v>21</v>
      </c>
      <c r="I54" s="6" t="s">
        <v>215</v>
      </c>
      <c r="J54" s="6"/>
      <c r="K54" s="5" t="s">
        <v>216</v>
      </c>
      <c r="L54" s="7"/>
      <c r="M54" s="7"/>
    </row>
    <row r="55" customFormat="false" ht="23.85" hidden="false" customHeight="false" outlineLevel="0" collapsed="false">
      <c r="A55" s="6" t="n">
        <v>50</v>
      </c>
      <c r="B55" s="6" t="s">
        <v>202</v>
      </c>
      <c r="C55" s="5" t="s">
        <v>217</v>
      </c>
      <c r="D55" s="6" t="s">
        <v>18</v>
      </c>
      <c r="E55" s="5" t="s">
        <v>19</v>
      </c>
      <c r="F55" s="6"/>
      <c r="G55" s="5" t="s">
        <v>218</v>
      </c>
      <c r="H55" s="5" t="s">
        <v>21</v>
      </c>
      <c r="I55" s="6" t="s">
        <v>219</v>
      </c>
      <c r="J55" s="6"/>
      <c r="K55" s="5" t="s">
        <v>86</v>
      </c>
      <c r="L55" s="7"/>
      <c r="M55" s="7"/>
    </row>
    <row r="56" customFormat="false" ht="29.85" hidden="false" customHeight="false" outlineLevel="0" collapsed="false">
      <c r="A56" s="6" t="n">
        <v>51</v>
      </c>
      <c r="B56" s="6" t="s">
        <v>202</v>
      </c>
      <c r="C56" s="5" t="s">
        <v>220</v>
      </c>
      <c r="D56" s="6" t="s">
        <v>18</v>
      </c>
      <c r="E56" s="5" t="s">
        <v>19</v>
      </c>
      <c r="F56" s="6"/>
      <c r="G56" s="5" t="s">
        <v>221</v>
      </c>
      <c r="H56" s="5" t="s">
        <v>21</v>
      </c>
      <c r="I56" s="6" t="s">
        <v>222</v>
      </c>
      <c r="J56" s="6"/>
      <c r="K56" s="5" t="s">
        <v>223</v>
      </c>
      <c r="L56" s="7"/>
      <c r="M56" s="7"/>
    </row>
    <row r="57" customFormat="false" ht="15" hidden="false" customHeight="false" outlineLevel="0" collapsed="false">
      <c r="A57" s="6" t="n">
        <v>52</v>
      </c>
      <c r="B57" s="6" t="s">
        <v>202</v>
      </c>
      <c r="C57" s="5" t="s">
        <v>224</v>
      </c>
      <c r="D57" s="6" t="s">
        <v>18</v>
      </c>
      <c r="E57" s="5" t="s">
        <v>19</v>
      </c>
      <c r="F57" s="6"/>
      <c r="G57" s="5" t="s">
        <v>225</v>
      </c>
      <c r="H57" s="5" t="s">
        <v>21</v>
      </c>
      <c r="I57" s="6" t="s">
        <v>226</v>
      </c>
      <c r="J57" s="6"/>
      <c r="K57" s="5" t="s">
        <v>227</v>
      </c>
      <c r="L57" s="7"/>
      <c r="M57" s="7"/>
    </row>
    <row r="58" customFormat="false" ht="26.85" hidden="false" customHeight="false" outlineLevel="0" collapsed="false">
      <c r="A58" s="6" t="n">
        <v>53</v>
      </c>
      <c r="B58" s="6" t="s">
        <v>202</v>
      </c>
      <c r="C58" s="5" t="s">
        <v>228</v>
      </c>
      <c r="D58" s="6" t="s">
        <v>18</v>
      </c>
      <c r="E58" s="5" t="s">
        <v>19</v>
      </c>
      <c r="F58" s="6"/>
      <c r="G58" s="5" t="s">
        <v>229</v>
      </c>
      <c r="H58" s="5" t="s">
        <v>21</v>
      </c>
      <c r="I58" s="6" t="s">
        <v>230</v>
      </c>
      <c r="J58" s="6"/>
      <c r="K58" s="5" t="s">
        <v>231</v>
      </c>
      <c r="L58" s="7"/>
      <c r="M58" s="7"/>
    </row>
    <row r="59" customFormat="false" ht="102.2" hidden="false" customHeight="false" outlineLevel="0" collapsed="false">
      <c r="A59" s="6" t="n">
        <v>54</v>
      </c>
      <c r="B59" s="6" t="s">
        <v>202</v>
      </c>
      <c r="C59" s="5" t="s">
        <v>232</v>
      </c>
      <c r="D59" s="6" t="s">
        <v>233</v>
      </c>
      <c r="E59" s="5" t="s">
        <v>19</v>
      </c>
      <c r="F59" s="5" t="s">
        <v>234</v>
      </c>
      <c r="G59" s="5" t="s">
        <v>235</v>
      </c>
      <c r="H59" s="5" t="s">
        <v>21</v>
      </c>
      <c r="I59" s="6" t="s">
        <v>236</v>
      </c>
      <c r="J59" s="6"/>
      <c r="K59" s="6"/>
      <c r="L59" s="7"/>
      <c r="M59" s="7"/>
    </row>
    <row r="60" customFormat="false" ht="102.2" hidden="false" customHeight="false" outlineLevel="0" collapsed="false">
      <c r="A60" s="6" t="n">
        <v>55</v>
      </c>
      <c r="B60" s="6" t="s">
        <v>202</v>
      </c>
      <c r="C60" s="5" t="s">
        <v>237</v>
      </c>
      <c r="D60" s="6" t="s">
        <v>233</v>
      </c>
      <c r="E60" s="5" t="s">
        <v>19</v>
      </c>
      <c r="F60" s="5" t="s">
        <v>238</v>
      </c>
      <c r="G60" s="5" t="s">
        <v>239</v>
      </c>
      <c r="H60" s="5" t="s">
        <v>21</v>
      </c>
      <c r="I60" s="6" t="s">
        <v>240</v>
      </c>
      <c r="J60" s="6"/>
      <c r="K60" s="5" t="s">
        <v>156</v>
      </c>
      <c r="L60" s="7"/>
      <c r="M60" s="7"/>
    </row>
    <row r="61" customFormat="false" ht="102.2" hidden="false" customHeight="false" outlineLevel="0" collapsed="false">
      <c r="A61" s="6" t="n">
        <v>56</v>
      </c>
      <c r="B61" s="6" t="s">
        <v>202</v>
      </c>
      <c r="C61" s="5" t="s">
        <v>241</v>
      </c>
      <c r="D61" s="6" t="s">
        <v>233</v>
      </c>
      <c r="E61" s="5" t="s">
        <v>25</v>
      </c>
      <c r="F61" s="5" t="s">
        <v>242</v>
      </c>
      <c r="G61" s="5" t="s">
        <v>243</v>
      </c>
      <c r="H61" s="5" t="s">
        <v>21</v>
      </c>
      <c r="I61" s="6" t="s">
        <v>244</v>
      </c>
      <c r="J61" s="6"/>
      <c r="K61" s="5" t="s">
        <v>156</v>
      </c>
      <c r="L61" s="7"/>
      <c r="M61" s="7"/>
    </row>
    <row r="62" customFormat="false" ht="91" hidden="false" customHeight="false" outlineLevel="0" collapsed="false">
      <c r="A62" s="6" t="n">
        <v>57</v>
      </c>
      <c r="B62" s="6" t="s">
        <v>202</v>
      </c>
      <c r="C62" s="5" t="s">
        <v>245</v>
      </c>
      <c r="D62" s="6" t="s">
        <v>246</v>
      </c>
      <c r="E62" s="5" t="s">
        <v>25</v>
      </c>
      <c r="F62" s="5" t="s">
        <v>247</v>
      </c>
      <c r="G62" s="5" t="s">
        <v>248</v>
      </c>
      <c r="H62" s="5" t="s">
        <v>249</v>
      </c>
      <c r="I62" s="6" t="s">
        <v>250</v>
      </c>
      <c r="J62" s="6"/>
      <c r="K62" s="6"/>
      <c r="L62" s="7"/>
      <c r="M62" s="7"/>
    </row>
    <row r="63" customFormat="false" ht="79.85" hidden="false" customHeight="false" outlineLevel="0" collapsed="false">
      <c r="A63" s="6" t="n">
        <v>58</v>
      </c>
      <c r="B63" s="6" t="s">
        <v>202</v>
      </c>
      <c r="C63" s="5" t="s">
        <v>251</v>
      </c>
      <c r="D63" s="6" t="s">
        <v>246</v>
      </c>
      <c r="E63" s="5" t="s">
        <v>25</v>
      </c>
      <c r="F63" s="5" t="s">
        <v>252</v>
      </c>
      <c r="G63" s="5" t="s">
        <v>253</v>
      </c>
      <c r="H63" s="5" t="s">
        <v>249</v>
      </c>
      <c r="I63" s="6" t="s">
        <v>250</v>
      </c>
      <c r="J63" s="6"/>
      <c r="K63" s="6"/>
      <c r="L63" s="7"/>
      <c r="M63" s="7"/>
    </row>
    <row r="64" customFormat="false" ht="79.85" hidden="false" customHeight="false" outlineLevel="0" collapsed="false">
      <c r="A64" s="6" t="n">
        <v>59</v>
      </c>
      <c r="B64" s="6" t="s">
        <v>202</v>
      </c>
      <c r="C64" s="5" t="s">
        <v>254</v>
      </c>
      <c r="D64" s="6" t="s">
        <v>246</v>
      </c>
      <c r="E64" s="5" t="s">
        <v>19</v>
      </c>
      <c r="F64" s="5" t="s">
        <v>255</v>
      </c>
      <c r="G64" s="5" t="s">
        <v>256</v>
      </c>
      <c r="H64" s="5" t="s">
        <v>249</v>
      </c>
      <c r="I64" s="6" t="s">
        <v>250</v>
      </c>
      <c r="J64" s="6"/>
      <c r="K64" s="6"/>
      <c r="L64" s="7"/>
      <c r="M64" s="7"/>
    </row>
    <row r="65" customFormat="false" ht="102.2" hidden="false" customHeight="false" outlineLevel="0" collapsed="false">
      <c r="A65" s="6" t="n">
        <v>60</v>
      </c>
      <c r="B65" s="6" t="s">
        <v>202</v>
      </c>
      <c r="C65" s="5" t="s">
        <v>257</v>
      </c>
      <c r="D65" s="6" t="s">
        <v>246</v>
      </c>
      <c r="E65" s="5" t="s">
        <v>25</v>
      </c>
      <c r="F65" s="5" t="s">
        <v>258</v>
      </c>
      <c r="G65" s="5" t="s">
        <v>259</v>
      </c>
      <c r="H65" s="5" t="s">
        <v>249</v>
      </c>
      <c r="I65" s="6" t="s">
        <v>250</v>
      </c>
      <c r="J65" s="6"/>
      <c r="K65" s="6"/>
      <c r="L65" s="7"/>
      <c r="M65" s="7"/>
    </row>
    <row r="66" customFormat="false" ht="113.4" hidden="false" customHeight="false" outlineLevel="0" collapsed="false">
      <c r="A66" s="6" t="n">
        <v>61</v>
      </c>
      <c r="B66" s="6" t="s">
        <v>202</v>
      </c>
      <c r="C66" s="5" t="s">
        <v>260</v>
      </c>
      <c r="D66" s="6" t="s">
        <v>246</v>
      </c>
      <c r="E66" s="5" t="s">
        <v>19</v>
      </c>
      <c r="F66" s="5" t="s">
        <v>261</v>
      </c>
      <c r="G66" s="5" t="s">
        <v>262</v>
      </c>
      <c r="H66" s="5" t="s">
        <v>249</v>
      </c>
      <c r="I66" s="6" t="s">
        <v>250</v>
      </c>
      <c r="J66" s="6"/>
      <c r="K66" s="6"/>
      <c r="L66" s="7"/>
      <c r="M66" s="7"/>
    </row>
    <row r="67" customFormat="false" ht="91" hidden="false" customHeight="false" outlineLevel="0" collapsed="false">
      <c r="A67" s="6" t="n">
        <v>62</v>
      </c>
      <c r="B67" s="6" t="s">
        <v>202</v>
      </c>
      <c r="C67" s="5" t="s">
        <v>263</v>
      </c>
      <c r="D67" s="6" t="s">
        <v>246</v>
      </c>
      <c r="E67" s="5" t="s">
        <v>19</v>
      </c>
      <c r="F67" s="5" t="s">
        <v>264</v>
      </c>
      <c r="G67" s="5" t="s">
        <v>265</v>
      </c>
      <c r="H67" s="5" t="s">
        <v>249</v>
      </c>
      <c r="I67" s="6" t="s">
        <v>250</v>
      </c>
      <c r="J67" s="6"/>
      <c r="K67" s="6"/>
      <c r="L67" s="7"/>
      <c r="M67" s="7"/>
    </row>
    <row r="68" customFormat="false" ht="68.65" hidden="false" customHeight="false" outlineLevel="0" collapsed="false">
      <c r="A68" s="6" t="n">
        <v>63</v>
      </c>
      <c r="B68" s="6" t="s">
        <v>202</v>
      </c>
      <c r="C68" s="5" t="s">
        <v>266</v>
      </c>
      <c r="D68" s="6" t="s">
        <v>246</v>
      </c>
      <c r="E68" s="5" t="s">
        <v>19</v>
      </c>
      <c r="F68" s="5" t="s">
        <v>267</v>
      </c>
      <c r="G68" s="5" t="s">
        <v>268</v>
      </c>
      <c r="H68" s="5" t="s">
        <v>249</v>
      </c>
      <c r="I68" s="6" t="s">
        <v>250</v>
      </c>
      <c r="J68" s="6"/>
      <c r="K68" s="6"/>
      <c r="L68" s="7"/>
      <c r="M68" s="7"/>
    </row>
    <row r="69" customFormat="false" ht="113.4" hidden="false" customHeight="false" outlineLevel="0" collapsed="false">
      <c r="A69" s="6" t="n">
        <v>64</v>
      </c>
      <c r="B69" s="6" t="s">
        <v>202</v>
      </c>
      <c r="C69" s="5" t="s">
        <v>269</v>
      </c>
      <c r="D69" s="6" t="s">
        <v>246</v>
      </c>
      <c r="E69" s="5" t="s">
        <v>19</v>
      </c>
      <c r="F69" s="5" t="s">
        <v>270</v>
      </c>
      <c r="G69" s="5" t="s">
        <v>271</v>
      </c>
      <c r="H69" s="5" t="s">
        <v>249</v>
      </c>
      <c r="I69" s="6" t="s">
        <v>250</v>
      </c>
      <c r="J69" s="6"/>
      <c r="K69" s="6"/>
      <c r="L69" s="7"/>
      <c r="M69" s="7"/>
    </row>
    <row r="70" customFormat="false" ht="79.85" hidden="false" customHeight="false" outlineLevel="0" collapsed="false">
      <c r="A70" s="6" t="n">
        <v>65</v>
      </c>
      <c r="B70" s="6" t="s">
        <v>202</v>
      </c>
      <c r="C70" s="5" t="s">
        <v>272</v>
      </c>
      <c r="D70" s="6" t="s">
        <v>246</v>
      </c>
      <c r="E70" s="5" t="s">
        <v>19</v>
      </c>
      <c r="F70" s="5" t="s">
        <v>273</v>
      </c>
      <c r="G70" s="5" t="s">
        <v>274</v>
      </c>
      <c r="H70" s="5" t="s">
        <v>249</v>
      </c>
      <c r="I70" s="6" t="s">
        <v>250</v>
      </c>
      <c r="J70" s="6"/>
      <c r="K70" s="6"/>
      <c r="L70" s="7"/>
      <c r="M70" s="7"/>
    </row>
    <row r="71" customFormat="false" ht="79.85" hidden="false" customHeight="false" outlineLevel="0" collapsed="false">
      <c r="A71" s="6" t="n">
        <v>66</v>
      </c>
      <c r="B71" s="6" t="s">
        <v>202</v>
      </c>
      <c r="C71" s="5" t="s">
        <v>275</v>
      </c>
      <c r="D71" s="6" t="s">
        <v>246</v>
      </c>
      <c r="E71" s="5" t="s">
        <v>25</v>
      </c>
      <c r="F71" s="5" t="s">
        <v>276</v>
      </c>
      <c r="G71" s="5" t="s">
        <v>277</v>
      </c>
      <c r="H71" s="5" t="s">
        <v>249</v>
      </c>
      <c r="I71" s="6" t="s">
        <v>250</v>
      </c>
      <c r="J71" s="6"/>
      <c r="K71" s="6"/>
      <c r="L71" s="7"/>
      <c r="M71" s="7"/>
    </row>
    <row r="72" customFormat="false" ht="79.85" hidden="false" customHeight="false" outlineLevel="0" collapsed="false">
      <c r="A72" s="6" t="n">
        <v>67</v>
      </c>
      <c r="B72" s="6" t="s">
        <v>202</v>
      </c>
      <c r="C72" s="5" t="s">
        <v>278</v>
      </c>
      <c r="D72" s="6" t="s">
        <v>279</v>
      </c>
      <c r="E72" s="5" t="s">
        <v>19</v>
      </c>
      <c r="F72" s="5" t="s">
        <v>280</v>
      </c>
      <c r="G72" s="5" t="s">
        <v>281</v>
      </c>
      <c r="H72" s="5" t="s">
        <v>282</v>
      </c>
      <c r="I72" s="6" t="s">
        <v>250</v>
      </c>
      <c r="J72" s="6"/>
      <c r="K72" s="6"/>
      <c r="L72" s="7"/>
      <c r="M72" s="7"/>
    </row>
    <row r="73" customFormat="false" ht="68.65" hidden="false" customHeight="false" outlineLevel="0" collapsed="false">
      <c r="A73" s="6" t="n">
        <v>68</v>
      </c>
      <c r="B73" s="6" t="s">
        <v>202</v>
      </c>
      <c r="C73" s="5" t="s">
        <v>283</v>
      </c>
      <c r="D73" s="6" t="s">
        <v>279</v>
      </c>
      <c r="E73" s="5" t="s">
        <v>25</v>
      </c>
      <c r="F73" s="5" t="s">
        <v>284</v>
      </c>
      <c r="G73" s="5" t="s">
        <v>285</v>
      </c>
      <c r="H73" s="5" t="s">
        <v>282</v>
      </c>
      <c r="I73" s="6" t="s">
        <v>250</v>
      </c>
      <c r="J73" s="6"/>
      <c r="K73" s="6"/>
      <c r="L73" s="7"/>
      <c r="M73" s="7"/>
    </row>
    <row r="74" customFormat="false" ht="91" hidden="false" customHeight="false" outlineLevel="0" collapsed="false">
      <c r="A74" s="6" t="n">
        <v>69</v>
      </c>
      <c r="B74" s="6" t="s">
        <v>202</v>
      </c>
      <c r="C74" s="5" t="s">
        <v>286</v>
      </c>
      <c r="D74" s="6" t="s">
        <v>279</v>
      </c>
      <c r="E74" s="5" t="s">
        <v>19</v>
      </c>
      <c r="F74" s="5" t="s">
        <v>287</v>
      </c>
      <c r="G74" s="5" t="s">
        <v>288</v>
      </c>
      <c r="H74" s="5" t="s">
        <v>282</v>
      </c>
      <c r="I74" s="6" t="s">
        <v>250</v>
      </c>
      <c r="J74" s="6"/>
      <c r="K74" s="6"/>
      <c r="L74" s="7"/>
      <c r="M74" s="7"/>
    </row>
    <row r="75" customFormat="false" ht="113.4" hidden="false" customHeight="false" outlineLevel="0" collapsed="false">
      <c r="A75" s="6" t="n">
        <v>70</v>
      </c>
      <c r="B75" s="6" t="s">
        <v>202</v>
      </c>
      <c r="C75" s="5" t="s">
        <v>289</v>
      </c>
      <c r="D75" s="6" t="s">
        <v>279</v>
      </c>
      <c r="E75" s="5" t="s">
        <v>19</v>
      </c>
      <c r="F75" s="5" t="s">
        <v>290</v>
      </c>
      <c r="G75" s="5" t="s">
        <v>291</v>
      </c>
      <c r="H75" s="5" t="s">
        <v>282</v>
      </c>
      <c r="I75" s="6" t="s">
        <v>250</v>
      </c>
      <c r="J75" s="6"/>
      <c r="K75" s="6"/>
      <c r="L75" s="7"/>
      <c r="M75" s="7"/>
    </row>
    <row r="76" customFormat="false" ht="113.4" hidden="false" customHeight="false" outlineLevel="0" collapsed="false">
      <c r="A76" s="6" t="n">
        <v>71</v>
      </c>
      <c r="B76" s="6" t="s">
        <v>202</v>
      </c>
      <c r="C76" s="5" t="s">
        <v>292</v>
      </c>
      <c r="D76" s="6" t="s">
        <v>279</v>
      </c>
      <c r="E76" s="5" t="s">
        <v>19</v>
      </c>
      <c r="F76" s="5" t="s">
        <v>293</v>
      </c>
      <c r="G76" s="5" t="s">
        <v>294</v>
      </c>
      <c r="H76" s="5" t="s">
        <v>282</v>
      </c>
      <c r="I76" s="6" t="s">
        <v>250</v>
      </c>
      <c r="J76" s="6"/>
      <c r="K76" s="6"/>
      <c r="L76" s="7"/>
      <c r="M76" s="7"/>
    </row>
    <row r="77" customFormat="false" ht="79.85" hidden="false" customHeight="false" outlineLevel="0" collapsed="false">
      <c r="A77" s="6" t="n">
        <v>72</v>
      </c>
      <c r="B77" s="6" t="s">
        <v>202</v>
      </c>
      <c r="C77" s="5" t="s">
        <v>295</v>
      </c>
      <c r="D77" s="6" t="s">
        <v>279</v>
      </c>
      <c r="E77" s="5" t="s">
        <v>19</v>
      </c>
      <c r="F77" s="5" t="s">
        <v>296</v>
      </c>
      <c r="G77" s="5" t="s">
        <v>297</v>
      </c>
      <c r="H77" s="5" t="s">
        <v>282</v>
      </c>
      <c r="I77" s="6" t="s">
        <v>250</v>
      </c>
      <c r="J77" s="6"/>
      <c r="K77" s="6"/>
      <c r="L77" s="7"/>
      <c r="M77" s="7"/>
    </row>
    <row r="78" customFormat="false" ht="91" hidden="false" customHeight="false" outlineLevel="0" collapsed="false">
      <c r="A78" s="6" t="n">
        <v>73</v>
      </c>
      <c r="B78" s="6" t="s">
        <v>202</v>
      </c>
      <c r="C78" s="5" t="s">
        <v>298</v>
      </c>
      <c r="D78" s="6" t="s">
        <v>279</v>
      </c>
      <c r="E78" s="5" t="s">
        <v>25</v>
      </c>
      <c r="F78" s="5" t="s">
        <v>299</v>
      </c>
      <c r="G78" s="5" t="s">
        <v>300</v>
      </c>
      <c r="H78" s="5" t="s">
        <v>282</v>
      </c>
      <c r="I78" s="6" t="s">
        <v>250</v>
      </c>
      <c r="J78" s="6"/>
      <c r="K78" s="6"/>
      <c r="L78" s="7"/>
      <c r="M78" s="7"/>
    </row>
    <row r="79" customFormat="false" ht="79.85" hidden="false" customHeight="false" outlineLevel="0" collapsed="false">
      <c r="A79" s="6" t="n">
        <v>74</v>
      </c>
      <c r="B79" s="6" t="s">
        <v>202</v>
      </c>
      <c r="C79" s="5" t="s">
        <v>301</v>
      </c>
      <c r="D79" s="6" t="s">
        <v>279</v>
      </c>
      <c r="E79" s="5" t="s">
        <v>19</v>
      </c>
      <c r="F79" s="5" t="s">
        <v>302</v>
      </c>
      <c r="G79" s="5" t="s">
        <v>303</v>
      </c>
      <c r="H79" s="5" t="s">
        <v>282</v>
      </c>
      <c r="I79" s="6" t="s">
        <v>250</v>
      </c>
      <c r="J79" s="6"/>
      <c r="K79" s="6"/>
      <c r="L79" s="7"/>
      <c r="M79" s="7"/>
    </row>
    <row r="80" customFormat="false" ht="91" hidden="false" customHeight="false" outlineLevel="0" collapsed="false">
      <c r="A80" s="6" t="n">
        <v>75</v>
      </c>
      <c r="B80" s="6" t="s">
        <v>202</v>
      </c>
      <c r="C80" s="5" t="s">
        <v>304</v>
      </c>
      <c r="D80" s="6" t="s">
        <v>279</v>
      </c>
      <c r="E80" s="5" t="s">
        <v>25</v>
      </c>
      <c r="F80" s="5" t="s">
        <v>305</v>
      </c>
      <c r="G80" s="5" t="s">
        <v>306</v>
      </c>
      <c r="H80" s="5" t="s">
        <v>282</v>
      </c>
      <c r="I80" s="6" t="s">
        <v>250</v>
      </c>
      <c r="J80" s="6"/>
      <c r="K80" s="6"/>
      <c r="L80" s="7"/>
      <c r="M80" s="7"/>
    </row>
    <row r="81" customFormat="false" ht="91" hidden="false" customHeight="false" outlineLevel="0" collapsed="false">
      <c r="A81" s="6" t="n">
        <v>76</v>
      </c>
      <c r="B81" s="6" t="s">
        <v>202</v>
      </c>
      <c r="C81" s="5" t="s">
        <v>307</v>
      </c>
      <c r="D81" s="6" t="s">
        <v>279</v>
      </c>
      <c r="E81" s="5" t="s">
        <v>19</v>
      </c>
      <c r="F81" s="5" t="s">
        <v>308</v>
      </c>
      <c r="G81" s="5" t="s">
        <v>309</v>
      </c>
      <c r="H81" s="5" t="s">
        <v>282</v>
      </c>
      <c r="I81" s="6" t="s">
        <v>250</v>
      </c>
      <c r="J81" s="6"/>
      <c r="K81" s="6"/>
      <c r="L81" s="7"/>
      <c r="M81" s="7"/>
    </row>
    <row r="82" customFormat="false" ht="102.2" hidden="false" customHeight="false" outlineLevel="0" collapsed="false">
      <c r="A82" s="6" t="n">
        <v>77</v>
      </c>
      <c r="B82" s="6" t="s">
        <v>202</v>
      </c>
      <c r="C82" s="5" t="s">
        <v>310</v>
      </c>
      <c r="D82" s="6" t="s">
        <v>279</v>
      </c>
      <c r="E82" s="5" t="s">
        <v>25</v>
      </c>
      <c r="F82" s="5" t="s">
        <v>311</v>
      </c>
      <c r="G82" s="5" t="s">
        <v>312</v>
      </c>
      <c r="H82" s="5" t="s">
        <v>282</v>
      </c>
      <c r="I82" s="6" t="s">
        <v>250</v>
      </c>
      <c r="J82" s="6"/>
      <c r="K82" s="6"/>
      <c r="L82" s="7"/>
      <c r="M82" s="7"/>
    </row>
    <row r="83" customFormat="false" ht="15" hidden="false" customHeight="false" outlineLevel="0" collapsed="false">
      <c r="A83" s="6" t="n">
        <v>78</v>
      </c>
      <c r="B83" s="6" t="s">
        <v>202</v>
      </c>
      <c r="C83" s="5" t="s">
        <v>313</v>
      </c>
      <c r="D83" s="6" t="s">
        <v>314</v>
      </c>
      <c r="E83" s="5" t="s">
        <v>25</v>
      </c>
      <c r="F83" s="6"/>
      <c r="G83" s="5" t="s">
        <v>315</v>
      </c>
      <c r="H83" s="5" t="s">
        <v>316</v>
      </c>
      <c r="I83" s="6" t="s">
        <v>250</v>
      </c>
      <c r="J83" s="6"/>
      <c r="K83" s="6"/>
      <c r="L83" s="7"/>
      <c r="M83" s="7"/>
    </row>
    <row r="84" customFormat="false" ht="68.65" hidden="false" customHeight="false" outlineLevel="0" collapsed="false">
      <c r="A84" s="6" t="n">
        <v>79</v>
      </c>
      <c r="B84" s="6" t="s">
        <v>202</v>
      </c>
      <c r="C84" s="5" t="s">
        <v>317</v>
      </c>
      <c r="D84" s="6" t="s">
        <v>314</v>
      </c>
      <c r="E84" s="5" t="s">
        <v>19</v>
      </c>
      <c r="F84" s="5" t="s">
        <v>318</v>
      </c>
      <c r="G84" s="5" t="s">
        <v>319</v>
      </c>
      <c r="H84" s="5" t="s">
        <v>316</v>
      </c>
      <c r="I84" s="6" t="s">
        <v>250</v>
      </c>
      <c r="J84" s="6"/>
      <c r="K84" s="6"/>
      <c r="L84" s="7"/>
      <c r="M84" s="7"/>
    </row>
    <row r="85" customFormat="false" ht="15" hidden="false" customHeight="false" outlineLevel="0" collapsed="false">
      <c r="A85" s="6" t="n">
        <v>80</v>
      </c>
      <c r="B85" s="6" t="s">
        <v>202</v>
      </c>
      <c r="C85" s="5" t="s">
        <v>320</v>
      </c>
      <c r="D85" s="6" t="s">
        <v>314</v>
      </c>
      <c r="E85" s="5" t="s">
        <v>19</v>
      </c>
      <c r="F85" s="6"/>
      <c r="G85" s="5" t="s">
        <v>321</v>
      </c>
      <c r="H85" s="5" t="s">
        <v>316</v>
      </c>
      <c r="I85" s="6" t="s">
        <v>250</v>
      </c>
      <c r="J85" s="6"/>
      <c r="K85" s="6"/>
      <c r="L85" s="7"/>
      <c r="M85" s="7"/>
    </row>
    <row r="86" customFormat="false" ht="15" hidden="false" customHeight="false" outlineLevel="0" collapsed="false">
      <c r="A86" s="6" t="n">
        <v>81</v>
      </c>
      <c r="B86" s="6" t="s">
        <v>202</v>
      </c>
      <c r="C86" s="5" t="s">
        <v>322</v>
      </c>
      <c r="D86" s="6" t="s">
        <v>314</v>
      </c>
      <c r="E86" s="5" t="s">
        <v>25</v>
      </c>
      <c r="F86" s="6"/>
      <c r="G86" s="5" t="s">
        <v>323</v>
      </c>
      <c r="H86" s="5" t="s">
        <v>316</v>
      </c>
      <c r="I86" s="6" t="s">
        <v>250</v>
      </c>
      <c r="J86" s="6"/>
      <c r="K86" s="6"/>
      <c r="L86" s="7"/>
      <c r="M86" s="7"/>
    </row>
    <row r="87" customFormat="false" ht="15" hidden="false" customHeight="false" outlineLevel="0" collapsed="false">
      <c r="A87" s="6" t="n">
        <v>82</v>
      </c>
      <c r="B87" s="6" t="s">
        <v>202</v>
      </c>
      <c r="C87" s="5" t="s">
        <v>324</v>
      </c>
      <c r="D87" s="6" t="s">
        <v>314</v>
      </c>
      <c r="E87" s="5" t="s">
        <v>19</v>
      </c>
      <c r="F87" s="6"/>
      <c r="G87" s="5" t="s">
        <v>325</v>
      </c>
      <c r="H87" s="5" t="s">
        <v>316</v>
      </c>
      <c r="I87" s="6" t="s">
        <v>250</v>
      </c>
      <c r="J87" s="6"/>
      <c r="K87" s="6"/>
      <c r="L87" s="7"/>
      <c r="M87" s="7"/>
    </row>
    <row r="88" customFormat="false" ht="15" hidden="false" customHeight="false" outlineLevel="0" collapsed="false">
      <c r="A88" s="6" t="n">
        <v>83</v>
      </c>
      <c r="B88" s="6" t="s">
        <v>202</v>
      </c>
      <c r="C88" s="5" t="s">
        <v>326</v>
      </c>
      <c r="D88" s="6" t="s">
        <v>314</v>
      </c>
      <c r="E88" s="5" t="s">
        <v>25</v>
      </c>
      <c r="F88" s="6"/>
      <c r="G88" s="5" t="s">
        <v>327</v>
      </c>
      <c r="H88" s="5" t="s">
        <v>316</v>
      </c>
      <c r="I88" s="6" t="s">
        <v>250</v>
      </c>
      <c r="J88" s="6"/>
      <c r="K88" s="6"/>
      <c r="L88" s="7"/>
      <c r="M88" s="7"/>
    </row>
    <row r="89" customFormat="false" ht="23.85" hidden="false" customHeight="false" outlineLevel="0" collapsed="false">
      <c r="A89" s="6" t="n">
        <v>84</v>
      </c>
      <c r="B89" s="6" t="s">
        <v>202</v>
      </c>
      <c r="C89" s="5" t="s">
        <v>328</v>
      </c>
      <c r="D89" s="6" t="s">
        <v>314</v>
      </c>
      <c r="E89" s="5" t="s">
        <v>19</v>
      </c>
      <c r="F89" s="6"/>
      <c r="G89" s="5" t="s">
        <v>329</v>
      </c>
      <c r="H89" s="5" t="s">
        <v>316</v>
      </c>
      <c r="I89" s="6" t="s">
        <v>250</v>
      </c>
      <c r="J89" s="6"/>
      <c r="K89" s="6"/>
      <c r="L89" s="7"/>
      <c r="M89" s="7"/>
    </row>
    <row r="90" customFormat="false" ht="15" hidden="false" customHeight="false" outlineLevel="0" collapsed="false">
      <c r="A90" s="6" t="n">
        <v>85</v>
      </c>
      <c r="B90" s="6" t="s">
        <v>202</v>
      </c>
      <c r="C90" s="5" t="s">
        <v>330</v>
      </c>
      <c r="D90" s="6" t="s">
        <v>314</v>
      </c>
      <c r="E90" s="5" t="s">
        <v>25</v>
      </c>
      <c r="F90" s="6"/>
      <c r="G90" s="5" t="s">
        <v>331</v>
      </c>
      <c r="H90" s="5" t="s">
        <v>316</v>
      </c>
      <c r="I90" s="6" t="s">
        <v>250</v>
      </c>
      <c r="J90" s="6"/>
      <c r="K90" s="6"/>
      <c r="L90" s="7"/>
      <c r="M90" s="7"/>
    </row>
    <row r="91" customFormat="false" ht="15" hidden="false" customHeight="false" outlineLevel="0" collapsed="false">
      <c r="A91" s="6" t="n">
        <v>86</v>
      </c>
      <c r="B91" s="6" t="s">
        <v>202</v>
      </c>
      <c r="C91" s="5" t="s">
        <v>332</v>
      </c>
      <c r="D91" s="6" t="s">
        <v>314</v>
      </c>
      <c r="E91" s="5" t="s">
        <v>25</v>
      </c>
      <c r="F91" s="6"/>
      <c r="G91" s="5" t="s">
        <v>333</v>
      </c>
      <c r="H91" s="5" t="s">
        <v>316</v>
      </c>
      <c r="I91" s="6" t="s">
        <v>250</v>
      </c>
      <c r="J91" s="6"/>
      <c r="K91" s="6"/>
      <c r="L91" s="7"/>
      <c r="M91" s="7"/>
    </row>
    <row r="92" customFormat="false" ht="15" hidden="false" customHeight="false" outlineLevel="0" collapsed="false">
      <c r="A92" s="6" t="n">
        <v>87</v>
      </c>
      <c r="B92" s="6" t="s">
        <v>202</v>
      </c>
      <c r="C92" s="5" t="s">
        <v>334</v>
      </c>
      <c r="D92" s="6" t="s">
        <v>314</v>
      </c>
      <c r="E92" s="5" t="s">
        <v>19</v>
      </c>
      <c r="F92" s="6"/>
      <c r="G92" s="5" t="s">
        <v>335</v>
      </c>
      <c r="H92" s="5" t="s">
        <v>316</v>
      </c>
      <c r="I92" s="6" t="s">
        <v>250</v>
      </c>
      <c r="J92" s="6"/>
      <c r="K92" s="6"/>
      <c r="L92" s="7"/>
      <c r="M92" s="7"/>
    </row>
    <row r="93" customFormat="false" ht="113.4" hidden="false" customHeight="false" outlineLevel="0" collapsed="false">
      <c r="A93" s="6" t="n">
        <v>88</v>
      </c>
      <c r="B93" s="6" t="s">
        <v>202</v>
      </c>
      <c r="C93" s="5" t="s">
        <v>336</v>
      </c>
      <c r="D93" s="6" t="s">
        <v>314</v>
      </c>
      <c r="E93" s="5" t="s">
        <v>25</v>
      </c>
      <c r="F93" s="5" t="s">
        <v>337</v>
      </c>
      <c r="G93" s="5" t="s">
        <v>338</v>
      </c>
      <c r="H93" s="5" t="s">
        <v>316</v>
      </c>
      <c r="I93" s="6" t="s">
        <v>250</v>
      </c>
      <c r="J93" s="6"/>
      <c r="K93" s="6"/>
      <c r="L93" s="7"/>
      <c r="M93" s="7"/>
    </row>
    <row r="94" customFormat="false" ht="79.85" hidden="false" customHeight="false" outlineLevel="0" collapsed="false">
      <c r="A94" s="6" t="n">
        <v>89</v>
      </c>
      <c r="B94" s="6" t="s">
        <v>202</v>
      </c>
      <c r="C94" s="5" t="s">
        <v>339</v>
      </c>
      <c r="D94" s="6" t="s">
        <v>314</v>
      </c>
      <c r="E94" s="5" t="s">
        <v>25</v>
      </c>
      <c r="F94" s="5" t="s">
        <v>340</v>
      </c>
      <c r="G94" s="5" t="s">
        <v>341</v>
      </c>
      <c r="H94" s="5" t="s">
        <v>316</v>
      </c>
      <c r="I94" s="6" t="s">
        <v>250</v>
      </c>
      <c r="J94" s="6"/>
      <c r="K94" s="6"/>
      <c r="L94" s="7"/>
      <c r="M94" s="7"/>
    </row>
    <row r="95" customFormat="false" ht="15" hidden="false" customHeight="false" outlineLevel="0" collapsed="false">
      <c r="A95" s="6" t="n">
        <v>90</v>
      </c>
      <c r="B95" s="6" t="s">
        <v>202</v>
      </c>
      <c r="C95" s="5" t="s">
        <v>342</v>
      </c>
      <c r="D95" s="6" t="s">
        <v>314</v>
      </c>
      <c r="E95" s="5" t="s">
        <v>25</v>
      </c>
      <c r="F95" s="6"/>
      <c r="G95" s="5" t="s">
        <v>343</v>
      </c>
      <c r="H95" s="5" t="s">
        <v>316</v>
      </c>
      <c r="I95" s="6" t="s">
        <v>250</v>
      </c>
      <c r="J95" s="6"/>
      <c r="K95" s="6"/>
      <c r="L95" s="7"/>
      <c r="M95" s="7"/>
    </row>
  </sheetData>
  <autoFilter ref="A5:M95"/>
  <dataValidations count="1">
    <dataValidation allowBlank="true" errorStyle="stop" operator="between" showDropDown="false" showErrorMessage="false" showInputMessage="false" sqref="L6:L95" type="list">
      <formula1>"对,错"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8"/>
  </cols>
  <sheetData>
    <row r="1" customFormat="false" ht="15" hidden="false" customHeight="false" outlineLevel="0" collapsed="false">
      <c r="A1" s="1" t="s">
        <v>344</v>
      </c>
    </row>
    <row r="3" customFormat="false" ht="15" hidden="false" customHeight="false" outlineLevel="0" collapsed="false">
      <c r="A3" s="8" t="s">
        <v>4</v>
      </c>
      <c r="B3" s="8" t="s">
        <v>345</v>
      </c>
      <c r="C3" s="8" t="s">
        <v>346</v>
      </c>
      <c r="D3" s="8" t="s">
        <v>347</v>
      </c>
      <c r="E3" s="8" t="s">
        <v>348</v>
      </c>
      <c r="F3" s="8" t="s">
        <v>349</v>
      </c>
    </row>
    <row r="4" customFormat="false" ht="15" hidden="false" customHeight="false" outlineLevel="0" collapsed="false">
      <c r="A4" s="9" t="s">
        <v>16</v>
      </c>
      <c r="B4" s="9" t="n">
        <f aca="false">COUNTIF(抽检!$B$6:$B$95,A4)</f>
        <v>45</v>
      </c>
      <c r="C4" s="9" t="n">
        <f aca="false">COUNTIFS(抽检!$B$6:$B$95,A4,抽检!$L$6:$L$95,"对")+COUNTIFS(抽检!$B$6:$B$95,A4,抽检!$L$6:$L$95,"错")</f>
        <v>0</v>
      </c>
      <c r="D4" s="9" t="n">
        <f aca="false">COUNTIFS(抽检!$B$6:$B$95,A4,抽检!$L$6:$L$95,"对")</f>
        <v>0</v>
      </c>
      <c r="E4" s="9" t="n">
        <f aca="false">COUNTIFS(抽检!$B$6:$B$95,A4,抽检!$L$6:$L$95,"错")</f>
        <v>0</v>
      </c>
      <c r="F4" s="10" t="str">
        <f aca="false">IF(C4=0,"-",E4/C4)</f>
        <v>-</v>
      </c>
    </row>
    <row r="5" customFormat="false" ht="15" hidden="false" customHeight="false" outlineLevel="0" collapsed="false">
      <c r="A5" s="9" t="s">
        <v>202</v>
      </c>
      <c r="B5" s="9" t="n">
        <f aca="false">COUNTIF(抽检!$B$6:$B$95,A5)</f>
        <v>45</v>
      </c>
      <c r="C5" s="9" t="n">
        <f aca="false">COUNTIFS(抽检!$B$6:$B$95,A5,抽检!$L$6:$L$95,"对")+COUNTIFS(抽检!$B$6:$B$95,A5,抽检!$L$6:$L$95,"错")</f>
        <v>0</v>
      </c>
      <c r="D5" s="9" t="n">
        <f aca="false">COUNTIFS(抽检!$B$6:$B$95,A5,抽检!$L$6:$L$95,"对")</f>
        <v>0</v>
      </c>
      <c r="E5" s="9" t="n">
        <f aca="false">COUNTIFS(抽检!$B$6:$B$95,A5,抽检!$L$6:$L$95,"错")</f>
        <v>0</v>
      </c>
      <c r="F5" s="10" t="str">
        <f aca="false">IF(C5=0,"-",E5/C5)</f>
        <v>-</v>
      </c>
    </row>
    <row r="6" customFormat="false" ht="15" hidden="false" customHeight="false" outlineLevel="0" collapsed="false">
      <c r="A6" s="11" t="s">
        <v>350</v>
      </c>
      <c r="B6" s="11" t="n">
        <f aca="false">SUM(B4:B5)</f>
        <v>90</v>
      </c>
      <c r="C6" s="11" t="n">
        <f aca="false">SUM(C4:C5)</f>
        <v>0</v>
      </c>
      <c r="D6" s="11" t="n">
        <f aca="false">SUM(D4:D5)</f>
        <v>0</v>
      </c>
      <c r="E6" s="11" t="n">
        <f aca="false">SUM(E4:E5)</f>
        <v>0</v>
      </c>
      <c r="F6" s="12" t="str">
        <f aca="false">IF(C6=0,"-",E6/C6)</f>
        <v>-</v>
      </c>
    </row>
    <row r="8" customFormat="false" ht="15" hidden="false" customHeight="false" outlineLevel="0" collapsed="false">
      <c r="A8" s="13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2026-10-22T15:42:41Z</dcterms:created>
  <dc:creator>openpyxl</dc:creator>
  <dc:description/>
  <dc:language>en-US</dc:language>
  <cp:lastModifiedBy/>
  <dcterms:modified xsi:type="dcterms:W3CDTF">2026-10-22T15:42:41Z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